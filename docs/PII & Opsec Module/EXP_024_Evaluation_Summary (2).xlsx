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_Guardian v13.i4\guardian_pii_opsec_module_v2\experiments\results\"/>
    </mc:Choice>
  </mc:AlternateContent>
  <xr:revisionPtr revIDLastSave="0" documentId="13_ncr:1_{33EC0568-155F-45AB-A8DD-3696CBC8B5D3}" xr6:coauthVersionLast="47" xr6:coauthVersionMax="47" xr10:uidLastSave="{00000000-0000-0000-0000-000000000000}"/>
  <bookViews>
    <workbookView xWindow="-108" yWindow="-108" windowWidth="23256" windowHeight="12456" firstSheet="10" activeTab="11" xr2:uid="{F3913A87-50BF-4B36-9CF2-DC196F9EC38E}"/>
  </bookViews>
  <sheets>
    <sheet name="Test Cases" sheetId="5" r:id="rId1"/>
    <sheet name="PANORAMA Overview" sheetId="7" r:id="rId2"/>
    <sheet name="PII Dataset Summary (EXP 5–6)" sheetId="4" r:id="rId3"/>
    <sheet name="Model_Comparison (EXP 7-9)" sheetId="6" r:id="rId4"/>
    <sheet name="PathB_Dataset Summary" sheetId="12" r:id="rId5"/>
    <sheet name="PathB_Modle_comparison" sheetId="9" r:id="rId6"/>
    <sheet name="PathB_EXP17_18_Model_Evaluation" sheetId="13" r:id="rId7"/>
    <sheet name="PathB_Error_Analysis" sheetId="14" r:id="rId8"/>
    <sheet name="PathB_Baseline_Comparison" sheetId="11" r:id="rId9"/>
    <sheet name="EXP_024_System_Evaluation" sheetId="1" r:id="rId10"/>
    <sheet name="exp024_system_evaluation" sheetId="17" r:id="rId11"/>
    <sheet name="EXP_024b Evaluation Summery" sheetId="18" r:id="rId12"/>
  </sheets>
  <definedNames>
    <definedName name="ExternalData_1" localSheetId="10" hidden="1">exp024_system_evaluation!$A$1:$S$26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40B46C-AB91-4D57-9B07-A5EF8CAB9448}" keepAlive="1" name="Query - exp024_system_evaluation" description="Connection to the 'exp024_system_evaluation' query in the workbook." type="5" refreshedVersion="8" background="1" saveData="1">
    <dbPr connection="Provider=Microsoft.Mashup.OleDb.1;Data Source=$Workbook$;Location=exp024_system_evaluation;Extended Properties=&quot;&quot;" command="SELECT * FROM [exp024_system_evaluation]"/>
  </connection>
</connections>
</file>

<file path=xl/sharedStrings.xml><?xml version="1.0" encoding="utf-8"?>
<sst xmlns="http://schemas.openxmlformats.org/spreadsheetml/2006/main" count="1219" uniqueCount="644">
  <si>
    <t>Metric</t>
  </si>
  <si>
    <t>Value</t>
  </si>
  <si>
    <t>Total Test Cases</t>
  </si>
  <si>
    <t>Good</t>
  </si>
  <si>
    <t>Correct Detections</t>
  </si>
  <si>
    <t>Partial Detections</t>
  </si>
  <si>
    <t>Incorrect Detections</t>
  </si>
  <si>
    <t>Detection Accuracy (%)</t>
  </si>
  <si>
    <t>Average Explanation Quality</t>
  </si>
  <si>
    <t>Average Rewrite Quality</t>
  </si>
  <si>
    <t>Count</t>
  </si>
  <si>
    <t>Category</t>
  </si>
  <si>
    <t>Quality Level</t>
  </si>
  <si>
    <t>Explanation Count</t>
  </si>
  <si>
    <t>Rewrite Count</t>
  </si>
  <si>
    <t>Partial</t>
  </si>
  <si>
    <t>Poor</t>
  </si>
  <si>
    <t>Correct</t>
  </si>
  <si>
    <t>Incorrect</t>
  </si>
  <si>
    <t>Field</t>
  </si>
  <si>
    <t>Dataset Source</t>
  </si>
  <si>
    <t>PANORAMA dataset</t>
  </si>
  <si>
    <t>Dataset Type</t>
  </si>
  <si>
    <t>Weakly supervised PII dataset</t>
  </si>
  <si>
    <t>Total Samples</t>
  </si>
  <si>
    <t>Data Format</t>
  </si>
  <si>
    <t>JSONL</t>
  </si>
  <si>
    <t>Task</t>
  </si>
  <si>
    <t>Named Entity Recognition (PII Detection)</t>
  </si>
  <si>
    <t>Pipeline Stage</t>
  </si>
  <si>
    <t>EXP_005 → EXP_006</t>
  </si>
  <si>
    <t>Component</t>
  </si>
  <si>
    <t>Method</t>
  </si>
  <si>
    <t>Description</t>
  </si>
  <si>
    <t>Structured PII</t>
  </si>
  <si>
    <t>Regex</t>
  </si>
  <si>
    <t>Phone numbers, Emails, NIC</t>
  </si>
  <si>
    <t>Unstructured PII</t>
  </si>
  <si>
    <t>spaCy (pretrained NER)</t>
  </si>
  <si>
    <t>PERSON, LOCATION, ORGANIZATION</t>
  </si>
  <si>
    <t>Labeling Type</t>
  </si>
  <si>
    <t>Weak Supervision</t>
  </si>
  <si>
    <t>No manual labeling used</t>
  </si>
  <si>
    <t>Entity Fusion</t>
  </si>
  <si>
    <t>Yes</t>
  </si>
  <si>
    <t>Regex + spaCy combined</t>
  </si>
  <si>
    <t>Alignment Filtering</t>
  </si>
  <si>
    <t>Yes (EXP_007 prep)</t>
  </si>
  <si>
    <t>Misaligned spans removed before training</t>
  </si>
  <si>
    <t>Label</t>
  </si>
  <si>
    <t>Type</t>
  </si>
  <si>
    <t>Detection Method</t>
  </si>
  <si>
    <t>PHONE_NUMBER</t>
  </si>
  <si>
    <t>Structured</t>
  </si>
  <si>
    <t>Regex (Sri Lankan aware)</t>
  </si>
  <si>
    <t>EMAIL</t>
  </si>
  <si>
    <t>NIC</t>
  </si>
  <si>
    <t>PERSON</t>
  </si>
  <si>
    <t>Unstructured</t>
  </si>
  <si>
    <t>spaCy NER</t>
  </si>
  <si>
    <t>LOCATION</t>
  </si>
  <si>
    <t>ORGANIZATION</t>
  </si>
  <si>
    <t>Split</t>
  </si>
  <si>
    <t>Size</t>
  </si>
  <si>
    <t>%</t>
  </si>
  <si>
    <t>Train</t>
  </si>
  <si>
    <t>Validation</t>
  </si>
  <si>
    <t>Test</t>
  </si>
  <si>
    <t>Total</t>
  </si>
  <si>
    <t>Samples with PII</t>
  </si>
  <si>
    <t>7. Key Observations</t>
  </si>
  <si>
    <t>Insight</t>
  </si>
  <si>
    <t>Explanation</t>
  </si>
  <si>
    <t>Strong unstructured coverage</t>
  </si>
  <si>
    <t>PERSON, ORG, LOCATION dominate</t>
  </si>
  <si>
    <t>Structured PII is sparse</t>
  </si>
  <si>
    <t>PHONE + NIC relatively low</t>
  </si>
  <si>
    <t>Balanced split</t>
  </si>
  <si>
    <t>Distribution preserved across splits</t>
  </si>
  <si>
    <t>Weak supervision noise</t>
  </si>
  <si>
    <t>Some spans filtered during training</t>
  </si>
  <si>
    <t>Hybrid design justified</t>
  </si>
  <si>
    <t>Regex + ML both needed</t>
  </si>
  <si>
    <t>Weakly Supervised PII-labeled Dataset Construction &amp; Analysis (EXP_005–EXP_006)</t>
  </si>
  <si>
    <t>Contribution</t>
  </si>
  <si>
    <t>Hybrid labeling pipeline</t>
  </si>
  <si>
    <t>Combined regex (structured) + pretrained NER (unstructured)</t>
  </si>
  <si>
    <t>Domain adaptation</t>
  </si>
  <si>
    <t>Sri Lankan-specific PII patterns (NIC, phone)</t>
  </si>
  <si>
    <t>Weak supervision approach</t>
  </si>
  <si>
    <t>Eliminates need for costly manual annotation</t>
  </si>
  <si>
    <t>Scalable pipeline</t>
  </si>
  <si>
    <t>Applied to 100K real-world text samples</t>
  </si>
  <si>
    <t xml:space="preserve"> 8. Research Contribution</t>
  </si>
  <si>
    <t xml:space="preserve"> 6. Entity Distribution</t>
  </si>
  <si>
    <t xml:space="preserve"> 5. Samples with Entities</t>
  </si>
  <si>
    <t xml:space="preserve"> 2. Labeling Strategy</t>
  </si>
  <si>
    <t xml:space="preserve"> 3. Entity Types</t>
  </si>
  <si>
    <t>1. Dataset Overview</t>
  </si>
  <si>
    <t xml:space="preserve"> 4. Dataset Split (EXP_006)</t>
  </si>
  <si>
    <t>Safe Case (baseline)</t>
  </si>
  <si>
    <t>Input</t>
  </si>
  <si>
    <t>Expected Detection</t>
  </si>
  <si>
    <t>Risk Level</t>
  </si>
  <si>
    <t>Key Point</t>
  </si>
  <si>
    <t>Narration</t>
  </si>
  <si>
    <t>Had coffee with friends after class today. Feeling much better now.</t>
  </si>
  <si>
    <t>None</t>
  </si>
  <si>
    <t>Low</t>
  </si>
  <si>
    <t>No over-detection</t>
  </si>
  <si>
    <t>This shows the system does not flag normal content unnecessarily</t>
  </si>
  <si>
    <t>Structured PII (Phone)</t>
  </si>
  <si>
    <t>Call me on 0771234567 when you arrive.</t>
  </si>
  <si>
    <t>Medium</t>
  </si>
  <si>
    <t>Regex-based detection</t>
  </si>
  <si>
    <t>This shows detection of Sri Lankan phone numbers using rule-based patterns</t>
  </si>
  <si>
    <t>Structured PII (NIC)</t>
  </si>
  <si>
    <t>My NIC is 200012345678, use it for registration.</t>
  </si>
  <si>
    <t>High</t>
  </si>
  <si>
    <t>Sensitive identity data</t>
  </si>
  <si>
    <t>This is high risk because national identity numbers are highly sensitive</t>
  </si>
  <si>
    <t>I’m Nethmi Fernando and I just started at Sampath Bank in Kandy.</t>
  </si>
  <si>
    <t>PERSON, ORGANIZATION, LOCATION</t>
  </si>
  <si>
    <t>ML-based detection</t>
  </si>
  <si>
    <t>This shows detection of names, organizations, and locations using a trained NER model</t>
  </si>
  <si>
    <t>OpSec (Travel + Absence)</t>
  </si>
  <si>
    <t>We are leaving for Ella tomorrow and nobody will be home.</t>
  </si>
  <si>
    <t>Travel, Absence (OpSec)</t>
  </si>
  <si>
    <t>Contextual reasoning</t>
  </si>
  <si>
    <t>This shows risk detection based on timing and absence even without explicit PII</t>
  </si>
  <si>
    <t>Routine Exposure</t>
  </si>
  <si>
    <t>I go jogging every morning at 5.30 AM near the lake.</t>
  </si>
  <si>
    <t>Routine Pattern (OpSec)</t>
  </si>
  <si>
    <t>Behavioral exposure</t>
  </si>
  <si>
    <t>This shows how repeated routines can expose predictable behavior</t>
  </si>
  <si>
    <t>Vulnerability Cue</t>
  </si>
  <si>
    <t>I lost my job and really need money right now.</t>
  </si>
  <si>
    <t>Vulnerability Signal</t>
  </si>
  <si>
    <t>Social engineering risk</t>
  </si>
  <si>
    <t>This shows detection of emotional vulnerability that attackers may exploit</t>
  </si>
  <si>
    <t>I’ll be out of Colombo for three days. Call me on 0719988776 if needed.</t>
  </si>
  <si>
    <t>PHONE_NUMBER, Travel</t>
  </si>
  <si>
    <t>Risk composition</t>
  </si>
  <si>
    <t>This shows how multiple signals combine to increase overall risk</t>
  </si>
  <si>
    <t>High-Risk Real Scenario</t>
  </si>
  <si>
    <t>PHONE_NUMBER, Travel, Absence</t>
  </si>
  <si>
    <t>Very High</t>
  </si>
  <si>
    <t>Real-world scenario</t>
  </si>
  <si>
    <t>This demonstrates a realistic high-risk case combining multiple exposure signals</t>
  </si>
  <si>
    <t>False Positive Control</t>
  </si>
  <si>
    <t>Context awareness</t>
  </si>
  <si>
    <t>This shows the system avoids false positives by understanding context</t>
  </si>
  <si>
    <t>Send me the details privately.</t>
  </si>
  <si>
    <t>Safe Rewrite</t>
  </si>
  <si>
    <t>Test Case</t>
  </si>
  <si>
    <t>I’m Kasuni from Galle, and I’ll be home alone tonight because my parents are away.</t>
  </si>
  <si>
    <t>Finally flying to Singapore tonight for a week. Nobody’s at home, but you can still reach me on 0776543210.</t>
  </si>
  <si>
    <t>I’ll be traveling this week and may respond slowly. Please contact me privately if needed.</t>
  </si>
  <si>
    <t>Our group discussed phone addiction, workplace stress, and travel safety in class today.</t>
  </si>
  <si>
    <t>No rewrite needed</t>
  </si>
  <si>
    <t>Call me when you arrive.</t>
  </si>
  <si>
    <t>Send the details to madhu.perera98@gmail.com.</t>
  </si>
  <si>
    <t>Direct contact exposure</t>
  </si>
  <si>
    <t>This shows detection of email addresses and removal in rewrite</t>
  </si>
  <si>
    <t>I will provide the required registration details through a secure channel.</t>
  </si>
  <si>
    <t>I recently started a new job at a company in my area.</t>
  </si>
  <si>
    <t>We’ll be away for a short trip tomorrow.</t>
  </si>
  <si>
    <t>I usually go jogging in the mornings.</t>
  </si>
  <si>
    <t>I’m going through a difficult time and exploring new opportunities.</t>
  </si>
  <si>
    <t>I’ll be unavailable for a few days. Please contact me privately if urgent.</t>
  </si>
  <si>
    <t>PERSON, LOCATION, Absence (OpSec)</t>
  </si>
  <si>
    <t>Combined contextual + identity risk</t>
  </si>
  <si>
    <t>This shows how identity and situational exposure together increase personal risk</t>
  </si>
  <si>
    <t>I’ll be at home tonight, but I prefer to keep details private.</t>
  </si>
  <si>
    <t>Structured PII (Email)</t>
  </si>
  <si>
    <t>Unstructured PII (NER - person, location, organization)</t>
  </si>
  <si>
    <t>Combined Risk (Structured PII + Context)</t>
  </si>
  <si>
    <t xml:space="preserve"> Combined Risk (Unstructured PII + OpSec)</t>
  </si>
  <si>
    <t>Model</t>
  </si>
  <si>
    <t>Dataset</t>
  </si>
  <si>
    <t>Epochs</t>
  </si>
  <si>
    <t>Precision</t>
  </si>
  <si>
    <t>Recall</t>
  </si>
  <si>
    <t>F1</t>
  </si>
  <si>
    <t>Accuracy</t>
  </si>
  <si>
    <t>spaCy</t>
  </si>
  <si>
    <t>Full</t>
  </si>
  <si>
    <t>—</t>
  </si>
  <si>
    <t>DistilBERT</t>
  </si>
  <si>
    <t>Subset</t>
  </si>
  <si>
    <t>RoBERTa</t>
  </si>
  <si>
    <t>PHONE</t>
  </si>
  <si>
    <t>ORG</t>
  </si>
  <si>
    <t>Key Observation</t>
  </si>
  <si>
    <t>Strong Pattern Learning</t>
  </si>
  <si>
    <t>Weak on Structure PII</t>
  </si>
  <si>
    <t>BERT</t>
  </si>
  <si>
    <t>Training Type</t>
  </si>
  <si>
    <t>Latency (ms)</t>
  </si>
  <si>
    <t>Observation</t>
  </si>
  <si>
    <t>Strong across all entities</t>
  </si>
  <si>
    <t>Fails structured PII</t>
  </si>
  <si>
    <t xml:space="preserve"> 2. Per-Entity Breakdown (F1)</t>
  </si>
  <si>
    <t xml:space="preserve"> 1. Main Comparison Table (CORE TABLE)</t>
  </si>
  <si>
    <t>1. Dataset Snapshot</t>
  </si>
  <si>
    <t>Total Records</t>
  </si>
  <si>
    <t>Columns</t>
  </si>
  <si>
    <t>id, content-type, text</t>
  </si>
  <si>
    <t>Null Values</t>
  </si>
  <si>
    <t>Content Types</t>
  </si>
  <si>
    <t>Article, Social, Forum, Review, Ad</t>
  </si>
  <si>
    <t>Data Type</t>
  </si>
  <si>
    <t>Synthetic / Semi-Realistic</t>
  </si>
  <si>
    <t>2. Content Type Distribution</t>
  </si>
  <si>
    <t>Content Type</t>
  </si>
  <si>
    <t>Social Media</t>
  </si>
  <si>
    <t>Forum Post</t>
  </si>
  <si>
    <t>3. PANORAMA Dataset Construction</t>
  </si>
  <si>
    <t>Step</t>
  </si>
  <si>
    <t>Source Base</t>
  </si>
  <si>
    <t>Real-world style templates</t>
  </si>
  <si>
    <t>Generation</t>
  </si>
  <si>
    <t>Injection</t>
  </si>
  <si>
    <t>PII entities inserted into context</t>
  </si>
  <si>
    <t>Goal</t>
  </si>
  <si>
    <t>Preserve realism while ensuring privacy</t>
  </si>
  <si>
    <t>5. Role in this Project</t>
  </si>
  <si>
    <t>4. Limitation</t>
  </si>
  <si>
    <t>No native labels</t>
  </si>
  <si>
    <t>synthatic bias</t>
  </si>
  <si>
    <t>Required annotation pipeline</t>
  </si>
  <si>
    <t>Possible pattern regularity</t>
  </si>
  <si>
    <t>Usage</t>
  </si>
  <si>
    <t xml:space="preserve">Processing </t>
  </si>
  <si>
    <t>Output</t>
  </si>
  <si>
    <t>Extentsion</t>
  </si>
  <si>
    <t>Base corpus for PII Dataset</t>
  </si>
  <si>
    <t>Weak labeling applied</t>
  </si>
  <si>
    <t>Token classification dataset</t>
  </si>
  <si>
    <t>Adapted with Sri Lankan patterns</t>
  </si>
  <si>
    <t>1. Synthetic profile generation</t>
  </si>
  <si>
    <t>2. Biography generation</t>
  </si>
  <si>
    <t>3. Online content generation</t>
  </si>
  <si>
    <t>Synthetic identities</t>
  </si>
  <si>
    <t>Embedded PIIs</t>
  </si>
  <si>
    <t>names, locations, phone numbers, emails</t>
  </si>
  <si>
    <t xml:space="preserve">Synthetic text generation: </t>
  </si>
  <si>
    <t>it avoids ethical issues of using real personal data</t>
  </si>
  <si>
    <t xml:space="preserve"> </t>
  </si>
  <si>
    <t>100000 (78,138 contain entities )</t>
  </si>
  <si>
    <t>Article (Wiki-style)</t>
  </si>
  <si>
    <t>Ad (Marketplace listings)</t>
  </si>
  <si>
    <t>Online Review</t>
  </si>
  <si>
    <t>Blog/News comments</t>
  </si>
  <si>
    <r>
      <t xml:space="preserve">it contains </t>
    </r>
    <r>
      <rPr>
        <b/>
        <sz val="11"/>
        <color theme="1"/>
        <rFont val="Aptos Narrow"/>
        <family val="2"/>
        <scheme val="minor"/>
      </rPr>
      <t>realistic online text contexts</t>
    </r>
  </si>
  <si>
    <r>
      <t xml:space="preserve">PII appears </t>
    </r>
    <r>
      <rPr>
        <b/>
        <sz val="11"/>
        <color theme="1"/>
        <rFont val="Aptos Narrow"/>
        <family val="2"/>
        <scheme val="minor"/>
      </rPr>
      <t>naturally embedded in sentences</t>
    </r>
  </si>
  <si>
    <r>
      <t xml:space="preserve">it is </t>
    </r>
    <r>
      <rPr>
        <b/>
        <sz val="11"/>
        <color theme="1"/>
        <rFont val="Aptos Narrow"/>
        <family val="2"/>
        <scheme val="minor"/>
      </rPr>
      <t>large enough for machine learning training</t>
    </r>
  </si>
  <si>
    <t>Better context, weak phone</t>
  </si>
  <si>
    <t>Minimal performance drop under reduced data</t>
  </si>
  <si>
    <t> 0.837</t>
  </si>
  <si>
    <t>Better context, weak structured detection</t>
  </si>
  <si>
    <t>Strong contextual + NIC, weak phone</t>
  </si>
  <si>
    <t>Core Metrics</t>
  </si>
  <si>
    <t>Per-entitiy Breakdown</t>
  </si>
  <si>
    <t>Entity</t>
  </si>
  <si>
    <t>Interpretation</t>
  </si>
  <si>
    <t>Excellent (but regex will still dominate)</t>
  </si>
  <si>
    <t>Near perfect</t>
  </si>
  <si>
    <t>Strong contextual detection</t>
  </si>
  <si>
    <t>Strong</t>
  </si>
  <si>
    <t>⚠️ Not learned (dataset issue, expected)</t>
  </si>
  <si>
    <t>Final spaCy Test Results:</t>
  </si>
  <si>
    <t>Precision:</t>
  </si>
  <si>
    <r>
      <t>Recall:</t>
    </r>
    <r>
      <rPr>
        <sz val="11"/>
        <color theme="1"/>
        <rFont val="Aptos Narrow"/>
        <family val="2"/>
        <scheme val="minor"/>
      </rPr>
      <t xml:space="preserve"> </t>
    </r>
  </si>
  <si>
    <r>
      <t>F1:</t>
    </r>
    <r>
      <rPr>
        <sz val="11"/>
        <color theme="1"/>
        <rFont val="Aptos Narrow"/>
        <family val="2"/>
        <scheme val="minor"/>
      </rPr>
      <t xml:space="preserve"> </t>
    </r>
  </si>
  <si>
    <t>System</t>
  </si>
  <si>
    <t>Rule-Based</t>
  </si>
  <si>
    <t>Context-Rule</t>
  </si>
  <si>
    <t>ML-Only</t>
  </si>
  <si>
    <t>Hybrid</t>
  </si>
  <si>
    <t>Baseline Comparison</t>
  </si>
  <si>
    <t>sss</t>
  </si>
  <si>
    <t>Dataset Overvieew</t>
  </si>
  <si>
    <t>Dataset Version</t>
  </si>
  <si>
    <t>v4_4_grouped_full</t>
  </si>
  <si>
    <t>Labels</t>
  </si>
  <si>
    <t>6 OpSec categories</t>
  </si>
  <si>
    <t>Task Type</t>
  </si>
  <si>
    <t>Multi-label classification</t>
  </si>
  <si>
    <t>Split Strategy</t>
  </si>
  <si>
    <t>Group-based (no leakage)</t>
  </si>
  <si>
    <t>Dataset Split Table</t>
  </si>
  <si>
    <t>Records</t>
  </si>
  <si>
    <t>Label Distribution</t>
  </si>
  <si>
    <t>Travel</t>
  </si>
  <si>
    <t>Absence</t>
  </si>
  <si>
    <t>Routine</t>
  </si>
  <si>
    <t>Vulnerability</t>
  </si>
  <si>
    <t>Realtime</t>
  </si>
  <si>
    <t>Location</t>
  </si>
  <si>
    <t>Version</t>
  </si>
  <si>
    <t>Samples</t>
  </si>
  <si>
    <t>Key Change</t>
  </si>
  <si>
    <t>Result</t>
  </si>
  <si>
    <t>v4_1</t>
  </si>
  <si>
    <t>~2800</t>
  </si>
  <si>
    <t>Base synthetic</t>
  </si>
  <si>
    <t>baseline</t>
  </si>
  <si>
    <t>v4_3</t>
  </si>
  <si>
    <t>grouped split</t>
  </si>
  <si>
    <t>leakage removed</t>
  </si>
  <si>
    <t>v4_4</t>
  </si>
  <si>
    <t>semantic hardening</t>
  </si>
  <si>
    <t>realism ↑</t>
  </si>
  <si>
    <t>Dataset Evolution Sheet</t>
  </si>
  <si>
    <t>Model Comparison</t>
  </si>
  <si>
    <t>Exact Match</t>
  </si>
  <si>
    <t>Micro F1</t>
  </si>
  <si>
    <t>Macro F1</t>
  </si>
  <si>
    <t>Artificially high</t>
  </si>
  <si>
    <t>More realistic</t>
  </si>
  <si>
    <t>Per-Label Breakdown</t>
  </si>
  <si>
    <t>Behaviour Analysis</t>
  </si>
  <si>
    <t>Expected</t>
  </si>
  <si>
    <t>Model Output</t>
  </si>
  <si>
    <t>Still here</t>
  </si>
  <si>
    <t>NONE</t>
  </si>
  <si>
    <t>Might head out soon</t>
  </si>
  <si>
    <t>I like bus stop</t>
  </si>
  <si>
    <t>Feels uncomfortable</t>
  </si>
  <si>
    <t>Key Observations</t>
  </si>
  <si>
    <t>Template bias removed</t>
  </si>
  <si>
    <t>Vulnerability hardest</t>
  </si>
  <si>
    <t>Research Contribution</t>
  </si>
  <si>
    <t>Semantic Hardening</t>
  </si>
  <si>
    <t>reduced pattern bias</t>
  </si>
  <si>
    <t>Grouped Splitting</t>
  </si>
  <si>
    <t>prevented leakage</t>
  </si>
  <si>
    <t>Behavior Analysis</t>
  </si>
  <si>
    <t>exposed model weaknesses</t>
  </si>
  <si>
    <t>Dataset Design</t>
  </si>
  <si>
    <t>supports contextual inference</t>
  </si>
  <si>
    <t>Batch Size</t>
  </si>
  <si>
    <t>LR</t>
  </si>
  <si>
    <t>Weight Decay</t>
  </si>
  <si>
    <t>Dataset Composiiton</t>
  </si>
  <si>
    <t>Synthetic base</t>
  </si>
  <si>
    <t>Safe negatives</t>
  </si>
  <si>
    <t>Hard negatives</t>
  </si>
  <si>
    <t>Adversarial</t>
  </si>
  <si>
    <t>Ambiguous</t>
  </si>
  <si>
    <t>Semantic hardening</t>
  </si>
  <si>
    <t>Confidence</t>
  </si>
  <si>
    <t>Issue Type</t>
  </si>
  <si>
    <t>Ambiguity over-trigger</t>
  </si>
  <si>
    <t>Speculative inference</t>
  </si>
  <si>
    <t>Mention vs exposure confusion</t>
  </si>
  <si>
    <t>Emotion over-generalization</t>
  </si>
  <si>
    <t>Training configuration</t>
  </si>
  <si>
    <t>Strong generalization</t>
  </si>
  <si>
    <t>Best balance</t>
  </si>
  <si>
    <t>All strong</t>
  </si>
  <si>
    <t>Stable</t>
  </si>
  <si>
    <t>RoBERTa best</t>
  </si>
  <si>
    <t>Hardest</t>
  </si>
  <si>
    <t>BERT/RoBERTa strong</t>
  </si>
  <si>
    <t>All similar</t>
  </si>
  <si>
    <t>Modle Ranking Table</t>
  </si>
  <si>
    <t>Rank</t>
  </si>
  <si>
    <t>Key Strength</t>
  </si>
  <si>
    <t>🥇</t>
  </si>
  <si>
    <t>Balanced performance</t>
  </si>
  <si>
    <t>🥈</t>
  </si>
  <si>
    <t>Strong routine detection</t>
  </si>
  <si>
    <t>🥉</t>
  </si>
  <si>
    <t>Efficient, lighter model</t>
  </si>
  <si>
    <t>v4_3 → v4_4 drop confirms reduced shortcut learning</t>
  </si>
  <si>
    <t>Performance reflects realism</t>
  </si>
  <si>
    <t>Lower scores due to harder dataset</t>
  </si>
  <si>
    <t>Requires contextual reasoning</t>
  </si>
  <si>
    <t>Ambiguity persists</t>
  </si>
  <si>
    <t>Real-world OpSec property</t>
  </si>
  <si>
    <t>Models converge</t>
  </si>
  <si>
    <t>BERT &amp; RoBERTa similar performance</t>
  </si>
  <si>
    <t>Final Model Selection insight:</t>
  </si>
  <si>
    <t>BERT and RoBERTa achieve the highest performance with similar results, indicating stable generalization. DistilBERT provides a lightweight alternative with slightly lower accuracy. The dataset successfully enforces contextual reasoning across all models.</t>
  </si>
  <si>
    <t>Watching travel vlog</t>
  </si>
  <si>
    <t>Correct negative</t>
  </si>
  <si>
    <t>Challenge Evaluation (EXP_017)</t>
  </si>
  <si>
    <t>Challenege Breakdown</t>
  </si>
  <si>
    <t>Strong Positive</t>
  </si>
  <si>
    <t>Easy cases</t>
  </si>
  <si>
    <t>Adversarial Safe</t>
  </si>
  <si>
    <t>No false positives</t>
  </si>
  <si>
    <t>Ambiguous Safe</t>
  </si>
  <si>
    <t>❗ Major weakness</t>
  </si>
  <si>
    <t>Confusable Boundary</t>
  </si>
  <si>
    <t>Boundary issue</t>
  </si>
  <si>
    <t>Multi-label Hard</t>
  </si>
  <si>
    <t>~0.90</t>
  </si>
  <si>
    <t>Partial reasoning</t>
  </si>
  <si>
    <t>Weak Boundary</t>
  </si>
  <si>
    <t>lower</t>
  </si>
  <si>
    <t>Fragile cases</t>
  </si>
  <si>
    <t>Error Analyis</t>
  </si>
  <si>
    <t>Distil</t>
  </si>
  <si>
    <t>Error Type</t>
  </si>
  <si>
    <t>realtime</t>
  </si>
  <si>
    <t>ambiguity</t>
  </si>
  <si>
    <t>location</t>
  </si>
  <si>
    <t>boundary</t>
  </si>
  <si>
    <t>vulnerability</t>
  </si>
  <si>
    <t>over-generalization</t>
  </si>
  <si>
    <t>Performance degrades under ambiguity but remains stable</t>
  </si>
  <si>
    <t>Slightly lower robustness under ambiguous cases</t>
  </si>
  <si>
    <t>Most sensitive to challenge conditions</t>
  </si>
  <si>
    <t>All models perform reliably on strong and adversarial-safe cases,</t>
  </si>
  <si>
    <t>but consistently fail on ambiguous and boundary-confusable inputs.</t>
  </si>
  <si>
    <t>This indicates that remaining errors are due to inherent task ambiguity</t>
  </si>
  <si>
    <t>rather than model-specific weaknesses.</t>
  </si>
  <si>
    <t>ambiguity_over_trigger</t>
  </si>
  <si>
    <t>missed_detection</t>
  </si>
  <si>
    <t>multi_label_interaction_error</t>
  </si>
  <si>
    <t>weak_signal_misinterpretation</t>
  </si>
  <si>
    <t>correct</t>
  </si>
  <si>
    <t>other_error</t>
  </si>
  <si>
    <t>1. Error Type Distributution</t>
  </si>
  <si>
    <t>2. Challenge Type Breakdown</t>
  </si>
  <si>
    <t>Challenge Type</t>
  </si>
  <si>
    <t>Wrong</t>
  </si>
  <si>
    <t>strong_positive</t>
  </si>
  <si>
    <t>adversarial_safe</t>
  </si>
  <si>
    <t>safe_negative</t>
  </si>
  <si>
    <t>indirect_positive</t>
  </si>
  <si>
    <t>confusable_boundary</t>
  </si>
  <si>
    <t>weak_boundary_positive</t>
  </si>
  <si>
    <t>multi_label_hard</t>
  </si>
  <si>
    <t>ambiguous_safe</t>
  </si>
  <si>
    <t>3. Cross Modle Agreement</t>
  </si>
  <si>
    <t>ALL_CORRECT</t>
  </si>
  <si>
    <t>ALL_WRONG</t>
  </si>
  <si>
    <t>PARTIAL</t>
  </si>
  <si>
    <t>ID</t>
  </si>
  <si>
    <t>Test Text</t>
  </si>
  <si>
    <t>Expected Risk</t>
  </si>
  <si>
    <t>Actual Risk</t>
  </si>
  <si>
    <t>Risk Correctness</t>
  </si>
  <si>
    <t>Main Signals Expected</t>
  </si>
  <si>
    <t>Main Signals Observed</t>
  </si>
  <si>
    <t>Explanation Clarity</t>
  </si>
  <si>
    <t>Explanation Relevance</t>
  </si>
  <si>
    <t>Rewrite Risk Reduction</t>
  </si>
  <si>
    <t>Rewrite Meaning Preservation</t>
  </si>
  <si>
    <t>Rewrite Naturalness</t>
  </si>
  <si>
    <t>Limitation Observed</t>
  </si>
  <si>
    <t>Notes</t>
  </si>
  <si>
    <t>Summary</t>
  </si>
  <si>
    <t>Detection Metrics</t>
  </si>
  <si>
    <t>Quality Metrics</t>
  </si>
  <si>
    <t>Summary Explanation</t>
  </si>
  <si>
    <t>Advice</t>
  </si>
  <si>
    <t>Processing Time (ms)</t>
  </si>
  <si>
    <t>SAFE_01</t>
  </si>
  <si>
    <t>Safe</t>
  </si>
  <si>
    <t>Having dinner at home tonight.</t>
  </si>
  <si>
    <t>LOW</t>
  </si>
  <si>
    <t>MEDIUM</t>
  </si>
  <si>
    <t/>
  </si>
  <si>
    <t>OPSEC_ABSENCE_FROM_HOME</t>
  </si>
  <si>
    <t>This content presents a MODERATE risk because it may reveal timing, location, or availability details.
Key reasons:
- Your absence from home is indicated, creating an opportunity window for targeting. An attacker can infer that you may not be at home.</t>
  </si>
  <si>
    <t>- Avoid announcing absence from home in real time.</t>
  </si>
  <si>
    <t>Having dinner at home tonight</t>
  </si>
  <si>
    <t>SAFE_02</t>
  </si>
  <si>
    <t>Busy with university work this week.</t>
  </si>
  <si>
    <t>Busy with university work this week</t>
  </si>
  <si>
    <t>SAFE_03</t>
  </si>
  <si>
    <t>Had coffee with a friend today.</t>
  </si>
  <si>
    <t>No significant privacy or safety risks were detected.
Key reasons:
- No strong PII or contextual OpSec signals were identified.</t>
  </si>
  <si>
    <t>- No immediate changes are necessary, but continue being cautious with personal information.</t>
  </si>
  <si>
    <t>Had coffee with a friend today</t>
  </si>
  <si>
    <t>SAFE_04</t>
  </si>
  <si>
    <t>Watching a movie now.</t>
  </si>
  <si>
    <t>OPSEC_REALTIME_LOCATION</t>
  </si>
  <si>
    <t>This content presents a MODERATE risk because it may reveal timing, location, or availability details.
Key reasons:
- Your real-time presence is indicated, increasing immediate exposure. An attacker can infer where you are right now.</t>
  </si>
  <si>
    <t>- Delay sharing location-based updates until they are no longer real time.</t>
  </si>
  <si>
    <t>Watching a movie now</t>
  </si>
  <si>
    <t>SAFE_05</t>
  </si>
  <si>
    <t>Feeling happy about finishing my work.</t>
  </si>
  <si>
    <t>Feeling happy about finishing my work</t>
  </si>
  <si>
    <t>PII_01</t>
  </si>
  <si>
    <t>PII</t>
  </si>
  <si>
    <t>Call me on 0771234567.</t>
  </si>
  <si>
    <t>PII_PHONE_NUMBER</t>
  </si>
  <si>
    <t>This content presents a MODERATE risk because it exposes personal details that increase targeting potential.
Key reasons:
- A phone number is publicly exposed, enabling direct contact or targeting. An attacker can contact you directly.</t>
  </si>
  <si>
    <t>- Avoid sharing phone numbers publicly.</t>
  </si>
  <si>
    <t>Contact me privately</t>
  </si>
  <si>
    <t>PII_02</t>
  </si>
  <si>
    <t>Email me at abc@example.com.</t>
  </si>
  <si>
    <t>HIGH</t>
  </si>
  <si>
    <t>PII_EMAIL</t>
  </si>
  <si>
    <t>PII_EMAIL, PII_PERSON, OPSEC_LOCATION_EXPOSURE</t>
  </si>
  <si>
    <t>This content presents a HIGH risk because it exposes personal details that can be directly exploited or linked.
Key reasons:
- An email address is publicly exposed, enabling direct digital contact or phishing attempts. An attacker can target you through email or account-linked scams.
- Location-related clues are revealed, increasing inference about your whereabouts. An attacker can infer place associations or likely whereabouts.
- A personally identifying name reference is exposed, making other details easier to link to a person. An attacker can anchor other clues to a specific person.</t>
  </si>
  <si>
    <t>- Avoid sharing email addresses publicly unless necessary.
- Limit unnecessary personally identifying details in public posts.
- Avoid sharing location clues that make your whereabouts easy to infer.</t>
  </si>
  <si>
    <t>Message me privately</t>
  </si>
  <si>
    <t>PII_03</t>
  </si>
  <si>
    <t>My NIC is 200012345678.</t>
  </si>
  <si>
    <t>PII_NIC</t>
  </si>
  <si>
    <t>PII_NIC, PII_ORGANIZATION, OPSEC_LOCATION_EXPOSURE</t>
  </si>
  <si>
    <t>This content presents a MODERATE risk because it exposes personal details that increase targeting potential.
Key reasons:
- A national identity detail is exposed, increasing identity linkage and misuse risk. An attacker can more strongly identify or link you across records.
- Location-related clues are revealed, increasing inference about your whereabouts. An attacker can infer place associations or likely whereabouts.</t>
  </si>
  <si>
    <t>- Avoid exposing identity numbers or official identifiers.
- Avoid sharing location clues that make your whereabouts easy to infer.</t>
  </si>
  <si>
    <t>My sensitive ID has been removed</t>
  </si>
  <si>
    <t>PII_04</t>
  </si>
  <si>
    <t>House at 234 Lake Road, Kandy.</t>
  </si>
  <si>
    <t>PII_ADDRESS</t>
  </si>
  <si>
    <t>PII_ORGANIZATION, PII_PERSON, OPSEC_LOCATION_EXPOSURE</t>
  </si>
  <si>
    <t>This content presents a MODERATE risk because it exposes personal details that increase targeting potential.
Key reasons:
- Location-related clues are revealed, increasing inference about your whereabouts. An attacker can infer place associations or likely whereabouts.
- A personally identifying name reference is exposed, making other details easier to link to a person. An attacker can anchor other clues to a specific person.</t>
  </si>
  <si>
    <t>- Limit unnecessary personally identifying details in public posts.
- Avoid sharing location clues that make your whereabouts easy to infer.</t>
  </si>
  <si>
    <t>House at 234 Lake Road, Kandy</t>
  </si>
  <si>
    <t>PII_05</t>
  </si>
  <si>
    <t>Contact me at 0712345678 if needed.</t>
  </si>
  <si>
    <t>Contact me privately if needed</t>
  </si>
  <si>
    <t>OPSEC_01</t>
  </si>
  <si>
    <t>OpSec</t>
  </si>
  <si>
    <t>Leaving tomorrow and nobody will be home.</t>
  </si>
  <si>
    <t>OPSEC_TRAVEL_FUTURE, OPSEC_ABSENCE_FROM_HOME</t>
  </si>
  <si>
    <t>This content presents a HIGH risk because it may reveal an exploitable opportunity or your immediate safety context.
Key reasons:
- Your absence from home is indicated, creating an opportunity window for targeting. An attacker can infer that you may not be at home.
- Future travel plans are revealed, enabling attacker planning around likely absence. An attacker can infer a future opportunity window.
- Travel plans combined with absence information confirm a likely opportunity window.</t>
  </si>
  <si>
    <t>- Avoid posting timing details that confirm when you may be away.
- Avoid publicly announcing future travel plans before or during travel.
- Avoid announcing absence from home in real time.</t>
  </si>
  <si>
    <t>Leaving soon and I may be unavailable</t>
  </si>
  <si>
    <t>OPSEC_02</t>
  </si>
  <si>
    <t>I am at the station right now.</t>
  </si>
  <si>
    <t>I am out near the station</t>
  </si>
  <si>
    <t>OPSEC_03</t>
  </si>
  <si>
    <t>I take the same route every morning near campus.</t>
  </si>
  <si>
    <t>OPSEC_ROUTINE_DISCLOSURE, OPSEC_LOCATION_EXPOSURE</t>
  </si>
  <si>
    <t>OPSEC_ROUTINE_DISCLOSURE</t>
  </si>
  <si>
    <t>This content presents a MODERATE risk because it reveals behavior patterns or contextual clues.
Key reasons:
- A predictable routine is revealed, increasing behavioral predictability. An attacker can infer predictable future behavior.</t>
  </si>
  <si>
    <t>- Avoid revealing predictable routines or repeated schedules.</t>
  </si>
  <si>
    <t>I take the same route often near campus</t>
  </si>
  <si>
    <t>OPSEC_04</t>
  </si>
  <si>
    <t>I’m home alone tonight.</t>
  </si>
  <si>
    <t>OPSEC_VULNERABILITY_SIGNAL, OPSEC_ABSENCE_FROM_HOME</t>
  </si>
  <si>
    <t>This content presents a HIGH risk because it may reveal an exploitable opportunity or your immediate safety context.
Key reasons:
- Your absence from home is indicated, creating an opportunity window for targeting. An attacker can infer that you may not be at home.
- The post suggests a vulnerable situation that may increase exploitability. An attacker may infer reduced resilience or higher manipulability.</t>
  </si>
  <si>
    <t>- Avoid publicly sharing details that signal isolation, distress, or reduced safety.
- Avoid announcing absence from home in real time.</t>
  </si>
  <si>
    <t>I’m I may be unavailable tonight</t>
  </si>
  <si>
    <t>OPSEC_05</t>
  </si>
  <si>
    <t>I’ll be away next week.</t>
  </si>
  <si>
    <t>OPSEC_TRAVEL_FUTURE</t>
  </si>
  <si>
    <t>No significant privacy or safety risks were detected.
Key reasons:
- Future travel plans are revealed, enabling attacker planning around likely absence. An attacker can infer a future opportunity window.</t>
  </si>
  <si>
    <t>I’ll be away soon</t>
  </si>
  <si>
    <t>COMB_01</t>
  </si>
  <si>
    <t>Combined</t>
  </si>
  <si>
    <t>I’ll be traveling tomorrow, email me at abc@example.com.</t>
  </si>
  <si>
    <t>PII_EMAIL, OPSEC_TRAVEL_FUTURE</t>
  </si>
  <si>
    <t>This content presents a HIGH risk because it may reveal an exploitable opportunity or your immediate safety context.
Key reasons:
- An email address is publicly exposed, enabling direct digital contact or phishing attempts. An attacker can target you through email or account-linked scams.
- Future travel plans are revealed, enabling attacker planning around likely absence. An attacker can infer a future opportunity window.</t>
  </si>
  <si>
    <t>- Avoid sharing email addresses publicly unless necessary.
- Avoid publicly announcing future travel plans before or during travel.</t>
  </si>
  <si>
    <t>I’ll be traveling soon, message me privately</t>
  </si>
  <si>
    <t>COMB_02</t>
  </si>
  <si>
    <t>I’ll be away next week, house at 234 Lake Road, Kandy.</t>
  </si>
  <si>
    <t>PII_ADDRESS, OPSEC_TRAVEL_FUTURE</t>
  </si>
  <si>
    <t>PII_PERSON, OPSEC_TRAVEL_FUTURE</t>
  </si>
  <si>
    <t>This content presents a MODERATE risk because it may reveal timing, location, or availability details.
Key reasons:
- Future travel plans are revealed, enabling attacker planning around likely absence. An attacker can infer a future opportunity window.
- A personally identifying name reference is exposed, making other details easier to link to a person. An attacker can anchor other clues to a specific person.</t>
  </si>
  <si>
    <t>- Limit unnecessary personally identifying details in public posts.
- Avoid publicly announcing future travel plans before or during travel.</t>
  </si>
  <si>
    <t>I’ll be away soon, house at 234 Lake Road, Kandy</t>
  </si>
  <si>
    <t>COMB_03</t>
  </si>
  <si>
    <t>I’m at the station right now and feeling unsafe.</t>
  </si>
  <si>
    <t>OPSEC_REALTIME_LOCATION, OPSEC_VULNERABILITY_SIGNAL</t>
  </si>
  <si>
    <t>I’m out nearby and feeling unsafe</t>
  </si>
  <si>
    <t>COMB_04</t>
  </si>
  <si>
    <t>Call me on 0771234567, I’ll be out of town tomorrow.</t>
  </si>
  <si>
    <t>PII_PHONE_NUMBER, OPSEC_TRAVEL_FUTURE</t>
  </si>
  <si>
    <t>This content presents a HIGH risk because it may reveal an exploitable opportunity or your immediate safety context.
Key reasons:
- A phone number is publicly exposed, enabling direct contact or targeting. An attacker can contact you directly.
- Future travel plans are revealed, enabling attacker planning around likely absence. An attacker can infer a future opportunity window.
- Exposed contact information combined with future travel plans supports attacker planning.</t>
  </si>
  <si>
    <t>- Keep direct contact details separate from future travel announcements.
- Avoid sharing phone numbers publicly.
- Avoid publicly announcing future travel plans before or during travel.</t>
  </si>
  <si>
    <t>Contact me privately, I’ll be away soon</t>
  </si>
  <si>
    <t>COMB_05</t>
  </si>
  <si>
    <t>Nobody will be home, house at 15 Temple Road.</t>
  </si>
  <si>
    <t>OPSEC_ABSENCE_FROM_HOME, PII_ADDRESS</t>
  </si>
  <si>
    <t>I may be unavailable, house at 15 Temple Road</t>
  </si>
  <si>
    <t>AMB_01</t>
  </si>
  <si>
    <t>I’ll be away next week, house at 12 Lake Road.</t>
  </si>
  <si>
    <t>OPSEC_TRAVEL_FUTURE, PII_ADDRESS</t>
  </si>
  <si>
    <t>I’ll be away soon, house at 12 Lake Road</t>
  </si>
  <si>
    <t>AMB_02</t>
  </si>
  <si>
    <t>Around campus as usual.</t>
  </si>
  <si>
    <t>No significant privacy or safety risks were detected.
Key reasons:
- A predictable routine is revealed, increasing behavioral predictability. An attacker can infer predictable future behavior.</t>
  </si>
  <si>
    <t>Around campus as usual</t>
  </si>
  <si>
    <t>AMB_03</t>
  </si>
  <si>
    <t>Going through a rough time.</t>
  </si>
  <si>
    <t>OPSEC_VULNERABILITY_SIGNAL</t>
  </si>
  <si>
    <t>No significant privacy or safety risks were detected.
Key reasons:
- The post suggests a vulnerable situation that may increase exploitability. An attacker may infer reduced resilience or higher manipulability.</t>
  </si>
  <si>
    <t>Going through a rough time</t>
  </si>
  <si>
    <t>AMB_04</t>
  </si>
  <si>
    <t>Out and about today.</t>
  </si>
  <si>
    <t>No significant privacy or safety risks were detected.
Key reasons:
- Your absence from home is indicated, creating an opportunity window for targeting. An attacker can infer that you may not be at home.</t>
  </si>
  <si>
    <t>Out and about today</t>
  </si>
  <si>
    <t>AMB_05</t>
  </si>
  <si>
    <t>Same place as always.</t>
  </si>
  <si>
    <t>Same place as often</t>
  </si>
  <si>
    <t>Over-trigger on safe content</t>
  </si>
  <si>
    <t>False absence inference</t>
  </si>
  <si>
    <t>Over-trigger on realtime signal</t>
  </si>
  <si>
    <t>Signal over-detection</t>
  </si>
  <si>
    <t>Extra irrelevant signals</t>
  </si>
  <si>
    <t>Address handling weakness</t>
  </si>
  <si>
    <t>Partial signal coverage</t>
  </si>
  <si>
    <t>Missed risk calibration</t>
  </si>
  <si>
    <t>Address detection inconsistency</t>
  </si>
  <si>
    <t>Weak vulnerability reasoning</t>
  </si>
  <si>
    <t>Partial signal fusion</t>
  </si>
  <si>
    <t>Weak ambiguity handling</t>
  </si>
  <si>
    <t>Routine over-sensitivity</t>
  </si>
  <si>
    <t>Vulnerability over-interpretation</t>
  </si>
  <si>
    <t>Absence over-trigger</t>
  </si>
  <si>
    <t>Routine inference bias</t>
  </si>
  <si>
    <t>1. OVERALL SUMMARY</t>
  </si>
  <si>
    <t>Accuracy (%)</t>
  </si>
  <si>
    <t>Avg Explanation Quality</t>
  </si>
  <si>
    <t>Avg Rewrite Quality</t>
  </si>
  <si>
    <t>2. DETECTION DISTRIBUTION</t>
  </si>
  <si>
    <t>3. EXPLANATION QUALITY</t>
  </si>
  <si>
    <t>4. REWRITE QUALITY</t>
  </si>
  <si>
    <t>5. CATEGORY-WISE PERFORMANCE (IMPORTANT)</t>
  </si>
  <si>
    <t>6. ERROR ANALYSIS</t>
  </si>
  <si>
    <t>Over-trigger (Safe / Realtime / Absence)</t>
  </si>
  <si>
    <t>Signal Over-detection</t>
  </si>
  <si>
    <t>Partial Signal Coverage</t>
  </si>
  <si>
    <t>Weak Ambiguity Handling</t>
  </si>
  <si>
    <t>Vulnerability Over-interpretation</t>
  </si>
  <si>
    <t>Missed Risk Calibration</t>
  </si>
  <si>
    <t>Address Handling Issues</t>
  </si>
  <si>
    <t>7. FINAL INTERPRETATION (FOR REPORT)</t>
  </si>
  <si>
    <t>Aspect</t>
  </si>
  <si>
    <t>Strongest Performance</t>
  </si>
  <si>
    <t>Combined PII + OpSec cases</t>
  </si>
  <si>
    <t>Weakest Area</t>
  </si>
  <si>
    <t>Safe &amp; Ambiguous cases</t>
  </si>
  <si>
    <t>Main Failure Mode</t>
  </si>
  <si>
    <t>Over-triggering and ambiguity misinterpretation</t>
  </si>
  <si>
    <t>Explanation Quality</t>
  </si>
  <si>
    <t>Generally strong but sometimes partially relevant</t>
  </si>
  <si>
    <t>Rewrite Quality</t>
  </si>
  <si>
    <t>Meaning preserved but risk reduction inconsistent</t>
  </si>
  <si>
    <t>System Behavior</t>
  </si>
  <si>
    <t>High sensitivity but moderate precision in edge cases</t>
  </si>
  <si>
    <t>Explanation/ Rewite COMBINED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</si>
</sst>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5" fillId="13" borderId="0" applyNumberFormat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3" fontId="0" fillId="0" borderId="4" xfId="0" applyNumberFormat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9" fontId="0" fillId="0" borderId="4" xfId="0" applyNumberFormat="1" applyBorder="1" applyAlignment="1">
      <alignment vertical="center" wrapText="1"/>
    </xf>
    <xf numFmtId="3" fontId="0" fillId="0" borderId="8" xfId="0" applyNumberFormat="1" applyBorder="1" applyAlignment="1">
      <alignment horizontal="right" vertical="center" wrapText="1"/>
    </xf>
    <xf numFmtId="9" fontId="0" fillId="0" borderId="6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3" fontId="0" fillId="0" borderId="4" xfId="0" applyNumberFormat="1" applyBorder="1" applyAlignment="1">
      <alignment vertical="center" wrapText="1"/>
    </xf>
    <xf numFmtId="3" fontId="0" fillId="0" borderId="6" xfId="0" applyNumberFormat="1" applyBorder="1" applyAlignment="1">
      <alignment vertical="center" wrapText="1"/>
    </xf>
    <xf numFmtId="0" fontId="0" fillId="0" borderId="7" xfId="0" applyBorder="1"/>
    <xf numFmtId="0" fontId="1" fillId="0" borderId="4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3" fontId="0" fillId="0" borderId="4" xfId="0" applyNumberFormat="1" applyBorder="1" applyAlignment="1">
      <alignment horizontal="right" vertical="center" wrapText="1"/>
    </xf>
    <xf numFmtId="3" fontId="0" fillId="0" borderId="6" xfId="0" applyNumberFormat="1" applyBorder="1" applyAlignment="1">
      <alignment horizontal="right"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2" fillId="12" borderId="0" xfId="3" applyFont="1" applyAlignment="1">
      <alignment horizontal="center" vertical="center" wrapText="1"/>
    </xf>
    <xf numFmtId="0" fontId="5" fillId="13" borderId="0" xfId="4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0" fillId="0" borderId="8" xfId="0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right" vertical="center"/>
    </xf>
    <xf numFmtId="3" fontId="0" fillId="0" borderId="0" xfId="0" applyNumberFormat="1"/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  <xf numFmtId="0" fontId="1" fillId="19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right" wrapText="1"/>
    </xf>
    <xf numFmtId="0" fontId="0" fillId="0" borderId="6" xfId="0" applyBorder="1" applyAlignment="1">
      <alignment wrapText="1"/>
    </xf>
    <xf numFmtId="0" fontId="2" fillId="0" borderId="0" xfId="2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3" xfId="0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 indent="1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11" fontId="0" fillId="0" borderId="0" xfId="0" applyNumberFormat="1" applyAlignment="1">
      <alignment vertical="center" wrapText="1"/>
    </xf>
    <xf numFmtId="0" fontId="1" fillId="5" borderId="9" xfId="0" applyFont="1" applyFill="1" applyBorder="1"/>
    <xf numFmtId="0" fontId="0" fillId="0" borderId="1" xfId="0" applyBorder="1"/>
    <xf numFmtId="0" fontId="0" fillId="0" borderId="2" xfId="0" applyBorder="1"/>
    <xf numFmtId="0" fontId="0" fillId="6" borderId="0" xfId="0" applyFill="1" applyAlignment="1">
      <alignment vertical="center" wrapText="1"/>
    </xf>
    <xf numFmtId="0" fontId="0" fillId="6" borderId="0" xfId="0" applyFill="1"/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1" fillId="8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1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9" borderId="1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2" fillId="7" borderId="3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7" fillId="22" borderId="1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15" borderId="1" xfId="1" applyFont="1" applyFill="1" applyBorder="1" applyAlignment="1">
      <alignment horizontal="center"/>
    </xf>
    <xf numFmtId="0" fontId="2" fillId="15" borderId="7" xfId="1" applyFont="1" applyFill="1" applyBorder="1" applyAlignment="1">
      <alignment horizontal="center"/>
    </xf>
    <xf numFmtId="0" fontId="2" fillId="15" borderId="2" xfId="1" applyFont="1" applyFill="1" applyBorder="1" applyAlignment="1">
      <alignment horizontal="center"/>
    </xf>
    <xf numFmtId="0" fontId="2" fillId="14" borderId="1" xfId="4" applyFont="1" applyFill="1" applyBorder="1" applyAlignment="1">
      <alignment horizontal="center"/>
    </xf>
    <xf numFmtId="0" fontId="2" fillId="14" borderId="7" xfId="4" applyFont="1" applyFill="1" applyBorder="1" applyAlignment="1">
      <alignment horizontal="center"/>
    </xf>
    <xf numFmtId="0" fontId="2" fillId="14" borderId="2" xfId="4" applyFont="1" applyFill="1" applyBorder="1" applyAlignment="1">
      <alignment horizontal="center"/>
    </xf>
    <xf numFmtId="0" fontId="8" fillId="21" borderId="1" xfId="0" applyFont="1" applyFill="1" applyBorder="1" applyAlignment="1">
      <alignment horizontal="center"/>
    </xf>
    <xf numFmtId="0" fontId="8" fillId="21" borderId="7" xfId="0" applyFont="1" applyFill="1" applyBorder="1" applyAlignment="1">
      <alignment horizontal="center"/>
    </xf>
    <xf numFmtId="0" fontId="8" fillId="21" borderId="2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1" fillId="7" borderId="1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4" borderId="2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 vertical="center" wrapText="1"/>
    </xf>
    <xf numFmtId="0" fontId="2" fillId="25" borderId="7" xfId="0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/>
    </xf>
    <xf numFmtId="0" fontId="1" fillId="23" borderId="7" xfId="0" applyFont="1" applyFill="1" applyBorder="1" applyAlignment="1">
      <alignment horizontal="center"/>
    </xf>
    <xf numFmtId="0" fontId="1" fillId="23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1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23" borderId="0" xfId="0" applyFont="1" applyFill="1" applyAlignment="1">
      <alignment horizontal="center"/>
    </xf>
    <xf numFmtId="0" fontId="1" fillId="24" borderId="7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8" borderId="12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0" fillId="0" borderId="0" xfId="0" applyAlignment="1"/>
    <xf numFmtId="0" fontId="1" fillId="0" borderId="0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wrapText="1"/>
    </xf>
    <xf numFmtId="0" fontId="1" fillId="15" borderId="2" xfId="0" applyFont="1" applyFill="1" applyBorder="1" applyAlignment="1">
      <alignment horizontal="center" wrapText="1"/>
    </xf>
    <xf numFmtId="0" fontId="1" fillId="26" borderId="1" xfId="0" applyFont="1" applyFill="1" applyBorder="1" applyAlignment="1">
      <alignment horizontal="center" vertical="center" wrapText="1"/>
    </xf>
    <xf numFmtId="0" fontId="1" fillId="26" borderId="7" xfId="0" applyFont="1" applyFill="1" applyBorder="1" applyAlignment="1">
      <alignment horizontal="center" vertical="center" wrapText="1"/>
    </xf>
    <xf numFmtId="0" fontId="1" fillId="26" borderId="2" xfId="0" applyFont="1" applyFill="1" applyBorder="1" applyAlignment="1">
      <alignment horizontal="center" vertical="center" wrapText="1"/>
    </xf>
  </cellXfs>
  <cellStyles count="5">
    <cellStyle name="20% - Accent2" xfId="1" builtinId="34"/>
    <cellStyle name="20% - Accent3" xfId="2" builtinId="38"/>
    <cellStyle name="20% - Accent5" xfId="4" builtinId="46"/>
    <cellStyle name="Accent5" xfId="3" builtinId="45"/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 Type Distribution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4213932633420822"/>
          <c:y val="0.20412037037037037"/>
          <c:w val="0.3611111111111111"/>
          <c:h val="0.77316735822959892"/>
        </c:manualLayout>
      </c:layout>
      <c:pieChart>
        <c:varyColors val="1"/>
        <c:ser>
          <c:idx val="0"/>
          <c:order val="0"/>
          <c:tx>
            <c:strRef>
              <c:f>'PANORAMA Overview'!$F$2:$F$3</c:f>
              <c:strCache>
                <c:ptCount val="2"/>
                <c:pt idx="0">
                  <c:v>2. Content Type Distribution</c:v>
                </c:pt>
                <c:pt idx="1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6C-4877-A3AA-3B2A38D781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6C-4877-A3AA-3B2A38D781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6C-4877-A3AA-3B2A38D781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6C-4877-A3AA-3B2A38D781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6C-4877-A3AA-3B2A38D781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6C-4877-A3AA-3B2A38D7811E}"/>
              </c:ext>
            </c:extLst>
          </c:dPt>
          <c:cat>
            <c:strRef>
              <c:f>'PANORAMA Overview'!$E$4:$E$9</c:f>
              <c:strCache>
                <c:ptCount val="6"/>
                <c:pt idx="0">
                  <c:v>Article (Wiki-style)</c:v>
                </c:pt>
                <c:pt idx="1">
                  <c:v>Social Media</c:v>
                </c:pt>
                <c:pt idx="2">
                  <c:v>Forum Post</c:v>
                </c:pt>
                <c:pt idx="3">
                  <c:v>Online Review</c:v>
                </c:pt>
                <c:pt idx="4">
                  <c:v>Blog/News comments</c:v>
                </c:pt>
                <c:pt idx="5">
                  <c:v>Ad (Marketplace listings)</c:v>
                </c:pt>
              </c:strCache>
            </c:strRef>
          </c:cat>
          <c:val>
            <c:numRef>
              <c:f>'PANORAMA Overview'!$F$4:$F$9</c:f>
              <c:numCache>
                <c:formatCode>#,##0</c:formatCode>
                <c:ptCount val="6"/>
                <c:pt idx="0">
                  <c:v>9674</c:v>
                </c:pt>
                <c:pt idx="1">
                  <c:v>88408</c:v>
                </c:pt>
                <c:pt idx="2">
                  <c:v>83546</c:v>
                </c:pt>
                <c:pt idx="3">
                  <c:v>79758</c:v>
                </c:pt>
                <c:pt idx="4">
                  <c:v>77472</c:v>
                </c:pt>
                <c:pt idx="5">
                  <c:v>45936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8-4F8A-9964-54A05D47F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7900699912510938E-2"/>
          <c:y val="0.24421186934966466"/>
          <c:w val="0.34435364910781502"/>
          <c:h val="0.542825167687372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5483858267716536"/>
          <c:y val="0.21914668336912432"/>
          <c:w val="0.36233036168986343"/>
          <c:h val="0.70658186957399571"/>
        </c:manualLayout>
      </c:layout>
      <c:pieChart>
        <c:varyColors val="1"/>
        <c:ser>
          <c:idx val="0"/>
          <c:order val="0"/>
          <c:tx>
            <c:strRef>
              <c:f>'PII Dataset Summary (EXP 5–6)'!$G$18:$G$19</c:f>
              <c:strCache>
                <c:ptCount val="2"/>
                <c:pt idx="0">
                  <c:v> 6. Entity Distribution</c:v>
                </c:pt>
                <c:pt idx="1">
                  <c:v>Train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5B-47C9-801F-8307D31716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5B-47C9-801F-8307D31716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5B-47C9-801F-8307D31716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05B-47C9-801F-8307D31716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05B-47C9-801F-8307D31716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05B-47C9-801F-8307D3171626}"/>
              </c:ext>
            </c:extLst>
          </c:dPt>
          <c:cat>
            <c:strRef>
              <c:f>'PII Dataset Summary (EXP 5–6)'!$F$20:$F$25</c:f>
              <c:strCache>
                <c:ptCount val="6"/>
                <c:pt idx="0">
                  <c:v>PHONE_NUMBER</c:v>
                </c:pt>
                <c:pt idx="1">
                  <c:v>EMAIL</c:v>
                </c:pt>
                <c:pt idx="2">
                  <c:v>NIC</c:v>
                </c:pt>
                <c:pt idx="3">
                  <c:v>PERSON</c:v>
                </c:pt>
                <c:pt idx="4">
                  <c:v>LOCATION</c:v>
                </c:pt>
                <c:pt idx="5">
                  <c:v>ORGANIZATION</c:v>
                </c:pt>
              </c:strCache>
            </c:strRef>
          </c:cat>
          <c:val>
            <c:numRef>
              <c:f>'PII Dataset Summary (EXP 5–6)'!$G$20:$G$25</c:f>
              <c:numCache>
                <c:formatCode>#,##0</c:formatCode>
                <c:ptCount val="6"/>
                <c:pt idx="0" formatCode="General">
                  <c:v>216</c:v>
                </c:pt>
                <c:pt idx="1">
                  <c:v>6787</c:v>
                </c:pt>
                <c:pt idx="2" formatCode="General">
                  <c:v>482</c:v>
                </c:pt>
                <c:pt idx="3">
                  <c:v>66763</c:v>
                </c:pt>
                <c:pt idx="4">
                  <c:v>22363</c:v>
                </c:pt>
                <c:pt idx="5">
                  <c:v>40069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B-45FC-A725-12A3DB8AA54B}"/>
            </c:ext>
          </c:extLst>
        </c:ser>
        <c:ser>
          <c:idx val="1"/>
          <c:order val="1"/>
          <c:tx>
            <c:strRef>
              <c:f>'PII Dataset Summary (EXP 5–6)'!$H$18:$H$19</c:f>
              <c:strCache>
                <c:ptCount val="2"/>
                <c:pt idx="0">
                  <c:v> 6. Entity Distribution</c:v>
                </c:pt>
                <c:pt idx="1">
                  <c:v>Validation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05B-47C9-801F-8307D31716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05B-47C9-801F-8307D31716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05B-47C9-801F-8307D31716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05B-47C9-801F-8307D31716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05B-47C9-801F-8307D31716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05B-47C9-801F-8307D3171626}"/>
              </c:ext>
            </c:extLst>
          </c:dPt>
          <c:cat>
            <c:strRef>
              <c:f>'PII Dataset Summary (EXP 5–6)'!$F$20:$F$25</c:f>
              <c:strCache>
                <c:ptCount val="6"/>
                <c:pt idx="0">
                  <c:v>PHONE_NUMBER</c:v>
                </c:pt>
                <c:pt idx="1">
                  <c:v>EMAIL</c:v>
                </c:pt>
                <c:pt idx="2">
                  <c:v>NIC</c:v>
                </c:pt>
                <c:pt idx="3">
                  <c:v>PERSON</c:v>
                </c:pt>
                <c:pt idx="4">
                  <c:v>LOCATION</c:v>
                </c:pt>
                <c:pt idx="5">
                  <c:v>ORGANIZATION</c:v>
                </c:pt>
              </c:strCache>
            </c:strRef>
          </c:cat>
          <c:val>
            <c:numRef>
              <c:f>'PII Dataset Summary (EXP 5–6)'!$H$20:$H$25</c:f>
              <c:numCache>
                <c:formatCode>#,##0</c:formatCode>
                <c:ptCount val="6"/>
                <c:pt idx="0" formatCode="General">
                  <c:v>47</c:v>
                </c:pt>
                <c:pt idx="1">
                  <c:v>1457</c:v>
                </c:pt>
                <c:pt idx="2" formatCode="General">
                  <c:v>122</c:v>
                </c:pt>
                <c:pt idx="3">
                  <c:v>14160</c:v>
                </c:pt>
                <c:pt idx="4">
                  <c:v>4723</c:v>
                </c:pt>
                <c:pt idx="5">
                  <c:v>8522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B-45FC-A725-12A3DB8AA54B}"/>
            </c:ext>
          </c:extLst>
        </c:ser>
        <c:ser>
          <c:idx val="2"/>
          <c:order val="2"/>
          <c:tx>
            <c:strRef>
              <c:f>'PII Dataset Summary (EXP 5–6)'!$I$18:$I$19</c:f>
              <c:strCache>
                <c:ptCount val="2"/>
                <c:pt idx="0">
                  <c:v> 6. Entity Distribution</c:v>
                </c:pt>
                <c:pt idx="1">
                  <c:v>Test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705B-47C9-801F-8307D31716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705B-47C9-801F-8307D31716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705B-47C9-801F-8307D31716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705B-47C9-801F-8307D31716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705B-47C9-801F-8307D31716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705B-47C9-801F-8307D3171626}"/>
              </c:ext>
            </c:extLst>
          </c:dPt>
          <c:cat>
            <c:strRef>
              <c:f>'PII Dataset Summary (EXP 5–6)'!$F$20:$F$25</c:f>
              <c:strCache>
                <c:ptCount val="6"/>
                <c:pt idx="0">
                  <c:v>PHONE_NUMBER</c:v>
                </c:pt>
                <c:pt idx="1">
                  <c:v>EMAIL</c:v>
                </c:pt>
                <c:pt idx="2">
                  <c:v>NIC</c:v>
                </c:pt>
                <c:pt idx="3">
                  <c:v>PERSON</c:v>
                </c:pt>
                <c:pt idx="4">
                  <c:v>LOCATION</c:v>
                </c:pt>
                <c:pt idx="5">
                  <c:v>ORGANIZATION</c:v>
                </c:pt>
              </c:strCache>
            </c:strRef>
          </c:cat>
          <c:val>
            <c:numRef>
              <c:f>'PII Dataset Summary (EXP 5–6)'!$I$20:$I$25</c:f>
              <c:numCache>
                <c:formatCode>#,##0</c:formatCode>
                <c:ptCount val="6"/>
                <c:pt idx="0" formatCode="General">
                  <c:v>49</c:v>
                </c:pt>
                <c:pt idx="1">
                  <c:v>1468</c:v>
                </c:pt>
                <c:pt idx="2" formatCode="General">
                  <c:v>120</c:v>
                </c:pt>
                <c:pt idx="3">
                  <c:v>14258</c:v>
                </c:pt>
                <c:pt idx="4">
                  <c:v>4699</c:v>
                </c:pt>
                <c:pt idx="5">
                  <c:v>8393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B-45FC-A725-12A3DB8AA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94358354459424E-2"/>
          <c:y val="0.24151679193509903"/>
          <c:w val="0.55824634420697417"/>
          <c:h val="0.75848320806490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Detection Performance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1C-45E4-824E-D6F7C7528F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1C-45E4-824E-D6F7C7528F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1C-45E4-824E-D6F7C7528F91}"/>
              </c:ext>
            </c:extLst>
          </c:dPt>
          <c:cat>
            <c:strRef>
              <c:f>EXP_024_System_Evaluation!$A$14:$A$16</c:f>
              <c:strCache>
                <c:ptCount val="3"/>
                <c:pt idx="0">
                  <c:v>Correct</c:v>
                </c:pt>
                <c:pt idx="1">
                  <c:v>Partial</c:v>
                </c:pt>
                <c:pt idx="2">
                  <c:v>Incorrect</c:v>
                </c:pt>
              </c:strCache>
            </c:strRef>
          </c:cat>
          <c:val>
            <c:numRef>
              <c:f>EXP_024_System_Evaluation!$B$14:$B$16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0-436A-B389-B7742C2F2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Explanation Quality and Rewrite Count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EXP_024_System_Evaluation!$B$22</c:f>
              <c:strCache>
                <c:ptCount val="1"/>
                <c:pt idx="0">
                  <c:v>Explanation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EXP_024_System_Evaluation!$A$23:$A$25</c:f>
              <c:strCache>
                <c:ptCount val="3"/>
                <c:pt idx="0">
                  <c:v>Good</c:v>
                </c:pt>
                <c:pt idx="1">
                  <c:v>Partial</c:v>
                </c:pt>
                <c:pt idx="2">
                  <c:v>Poor</c:v>
                </c:pt>
              </c:strCache>
            </c:strRef>
          </c:cat>
          <c:val>
            <c:numRef>
              <c:f>EXP_024_System_Evaluation!$B$23:$B$25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2-4395-A479-4EEB65CB632E}"/>
            </c:ext>
          </c:extLst>
        </c:ser>
        <c:ser>
          <c:idx val="1"/>
          <c:order val="1"/>
          <c:tx>
            <c:strRef>
              <c:f>EXP_024_System_Evaluation!$C$22</c:f>
              <c:strCache>
                <c:ptCount val="1"/>
                <c:pt idx="0">
                  <c:v>Rewrite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EXP_024_System_Evaluation!$A$23:$A$25</c:f>
              <c:strCache>
                <c:ptCount val="3"/>
                <c:pt idx="0">
                  <c:v>Good</c:v>
                </c:pt>
                <c:pt idx="1">
                  <c:v>Partial</c:v>
                </c:pt>
                <c:pt idx="2">
                  <c:v>Poor</c:v>
                </c:pt>
              </c:strCache>
            </c:strRef>
          </c:cat>
          <c:val>
            <c:numRef>
              <c:f>EXP_024_System_Evaluation!$C$23:$C$25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2-4395-A479-4EEB65CB6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646240"/>
        <c:axId val="1616651040"/>
      </c:barChart>
      <c:catAx>
        <c:axId val="161664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651040"/>
        <c:crosses val="autoZero"/>
        <c:auto val="1"/>
        <c:lblAlgn val="ctr"/>
        <c:lblOffset val="100"/>
        <c:noMultiLvlLbl val="0"/>
      </c:catAx>
      <c:valAx>
        <c:axId val="16166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64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584514435695535"/>
          <c:y val="9.27908636688079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888005916119605"/>
          <c:y val="0.23515625000000001"/>
          <c:w val="0.30883326362495683"/>
          <c:h val="0.67803819444444446"/>
        </c:manualLayout>
      </c:layout>
      <c:pieChart>
        <c:varyColors val="1"/>
        <c:ser>
          <c:idx val="0"/>
          <c:order val="0"/>
          <c:tx>
            <c:strRef>
              <c:f>'EXP_024b Evaluation Summery'!$C$12:$C$13</c:f>
              <c:strCache>
                <c:ptCount val="2"/>
                <c:pt idx="0">
                  <c:v>2. DETECTION DISTRIBUTION</c:v>
                </c:pt>
                <c:pt idx="1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'EXP_024b Evaluation Summery'!$B$14:$B$16</c:f>
              <c:strCache>
                <c:ptCount val="3"/>
                <c:pt idx="0">
                  <c:v>Correct</c:v>
                </c:pt>
                <c:pt idx="1">
                  <c:v>Partial</c:v>
                </c:pt>
                <c:pt idx="2">
                  <c:v>Incorrect</c:v>
                </c:pt>
              </c:strCache>
            </c:strRef>
          </c:cat>
          <c:val>
            <c:numRef>
              <c:f>'EXP_024b Evaluation Summery'!$C$14:$C$16</c:f>
              <c:numCache>
                <c:formatCode>General</c:formatCode>
                <c:ptCount val="3"/>
                <c:pt idx="0">
                  <c:v>18</c:v>
                </c:pt>
                <c:pt idx="1">
                  <c:v>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C-465C-B34A-6FCE8E29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35755547877531"/>
          <c:y val="0.35872293307086617"/>
          <c:w val="0.18863026070932815"/>
          <c:h val="0.46766595581802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'EXP_024b Evaluation Summery'!$I$2:$I$3</c:f>
              <c:strCache>
                <c:ptCount val="2"/>
                <c:pt idx="0">
                  <c:v>5. CATEGORY-WISE PERFORMANCE (IMPORTANT)</c:v>
                </c:pt>
                <c:pt idx="1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'EXP_024b Evaluation Summery'!$H$4:$H$8</c:f>
              <c:strCache>
                <c:ptCount val="5"/>
                <c:pt idx="0">
                  <c:v>Safe</c:v>
                </c:pt>
                <c:pt idx="1">
                  <c:v>PII</c:v>
                </c:pt>
                <c:pt idx="2">
                  <c:v>OpSec</c:v>
                </c:pt>
                <c:pt idx="3">
                  <c:v>Combined</c:v>
                </c:pt>
                <c:pt idx="4">
                  <c:v>Ambiguous</c:v>
                </c:pt>
              </c:strCache>
            </c:strRef>
          </c:cat>
          <c:val>
            <c:numRef>
              <c:f>'EXP_024b Evaluation Summery'!$I$4:$I$8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3-4A11-B0E9-09B0731A7156}"/>
            </c:ext>
          </c:extLst>
        </c:ser>
        <c:ser>
          <c:idx val="1"/>
          <c:order val="1"/>
          <c:tx>
            <c:strRef>
              <c:f>'EXP_024b Evaluation Summery'!$J$2:$J$3</c:f>
              <c:strCache>
                <c:ptCount val="2"/>
                <c:pt idx="0">
                  <c:v>5. CATEGORY-WISE PERFORMANCE (IMPORTANT)</c:v>
                </c:pt>
                <c:pt idx="1">
                  <c:v>Correct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'EXP_024b Evaluation Summery'!$H$4:$H$8</c:f>
              <c:strCache>
                <c:ptCount val="5"/>
                <c:pt idx="0">
                  <c:v>Safe</c:v>
                </c:pt>
                <c:pt idx="1">
                  <c:v>PII</c:v>
                </c:pt>
                <c:pt idx="2">
                  <c:v>OpSec</c:v>
                </c:pt>
                <c:pt idx="3">
                  <c:v>Combined</c:v>
                </c:pt>
                <c:pt idx="4">
                  <c:v>Ambiguous</c:v>
                </c:pt>
              </c:strCache>
            </c:strRef>
          </c:cat>
          <c:val>
            <c:numRef>
              <c:f>'EXP_024b Evaluation Summery'!$J$4:$J$8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3-4A11-B0E9-09B0731A7156}"/>
            </c:ext>
          </c:extLst>
        </c:ser>
        <c:ser>
          <c:idx val="2"/>
          <c:order val="2"/>
          <c:tx>
            <c:strRef>
              <c:f>'EXP_024b Evaluation Summery'!$K$2:$K$3</c:f>
              <c:strCache>
                <c:ptCount val="2"/>
                <c:pt idx="0">
                  <c:v>5. CATEGORY-WISE PERFORMANCE (IMPORTANT)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'EXP_024b Evaluation Summery'!$H$4:$H$8</c:f>
              <c:strCache>
                <c:ptCount val="5"/>
                <c:pt idx="0">
                  <c:v>Safe</c:v>
                </c:pt>
                <c:pt idx="1">
                  <c:v>PII</c:v>
                </c:pt>
                <c:pt idx="2">
                  <c:v>OpSec</c:v>
                </c:pt>
                <c:pt idx="3">
                  <c:v>Combined</c:v>
                </c:pt>
                <c:pt idx="4">
                  <c:v>Ambiguous</c:v>
                </c:pt>
              </c:strCache>
            </c:strRef>
          </c:cat>
          <c:val>
            <c:numRef>
              <c:f>'EXP_024b Evaluation Summery'!$K$4:$K$8</c:f>
              <c:numCache>
                <c:formatCode>General</c:formatCode>
                <c:ptCount val="5"/>
                <c:pt idx="0">
                  <c:v>40</c:v>
                </c:pt>
                <c:pt idx="1">
                  <c:v>80</c:v>
                </c:pt>
                <c:pt idx="2">
                  <c:v>80</c:v>
                </c:pt>
                <c:pt idx="3">
                  <c:v>100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03-4A11-B0E9-09B0731A7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318496"/>
        <c:axId val="1332651584"/>
      </c:barChart>
      <c:catAx>
        <c:axId val="126431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51584"/>
        <c:crosses val="autoZero"/>
        <c:auto val="1"/>
        <c:lblAlgn val="ctr"/>
        <c:lblOffset val="100"/>
        <c:noMultiLvlLbl val="0"/>
      </c:catAx>
      <c:valAx>
        <c:axId val="133265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31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'EXP_024b Evaluation Summery'!$C$30:$C$31</c:f>
              <c:strCache>
                <c:ptCount val="2"/>
                <c:pt idx="0">
                  <c:v>Explanation/ Rewite COMBINED TABLE</c:v>
                </c:pt>
                <c:pt idx="1">
                  <c:v>Explanation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'EXP_024b Evaluation Summery'!$B$32:$B$34</c:f>
              <c:strCache>
                <c:ptCount val="3"/>
                <c:pt idx="0">
                  <c:v>Good</c:v>
                </c:pt>
                <c:pt idx="1">
                  <c:v>Partial</c:v>
                </c:pt>
                <c:pt idx="2">
                  <c:v>Poor</c:v>
                </c:pt>
              </c:strCache>
            </c:strRef>
          </c:cat>
          <c:val>
            <c:numRef>
              <c:f>'EXP_024b Evaluation Summery'!$C$32:$C$34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5-41B8-9DED-1469B41464CC}"/>
            </c:ext>
          </c:extLst>
        </c:ser>
        <c:ser>
          <c:idx val="1"/>
          <c:order val="1"/>
          <c:tx>
            <c:strRef>
              <c:f>'EXP_024b Evaluation Summery'!$D$30:$D$31</c:f>
              <c:strCache>
                <c:ptCount val="2"/>
                <c:pt idx="0">
                  <c:v>Explanation/ Rewite COMBINED TABLE</c:v>
                </c:pt>
                <c:pt idx="1">
                  <c:v>Rewrite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'EXP_024b Evaluation Summery'!$B$32:$B$34</c:f>
              <c:strCache>
                <c:ptCount val="3"/>
                <c:pt idx="0">
                  <c:v>Good</c:v>
                </c:pt>
                <c:pt idx="1">
                  <c:v>Partial</c:v>
                </c:pt>
                <c:pt idx="2">
                  <c:v>Poor</c:v>
                </c:pt>
              </c:strCache>
            </c:strRef>
          </c:cat>
          <c:val>
            <c:numRef>
              <c:f>'EXP_024b Evaluation Summery'!$D$32:$D$34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65-41B8-9DED-1469B4146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024016"/>
        <c:axId val="1630019696"/>
      </c:barChart>
      <c:catAx>
        <c:axId val="163002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019696"/>
        <c:crosses val="autoZero"/>
        <c:auto val="1"/>
        <c:lblAlgn val="ctr"/>
        <c:lblOffset val="100"/>
        <c:noMultiLvlLbl val="0"/>
      </c:catAx>
      <c:valAx>
        <c:axId val="163001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02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167640</xdr:rowOff>
    </xdr:from>
    <xdr:to>
      <xdr:col>8</xdr:col>
      <xdr:colOff>2103120</xdr:colOff>
      <xdr:row>11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41176-81B6-3263-17A3-DFB7B98F5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9</xdr:row>
      <xdr:rowOff>99060</xdr:rowOff>
    </xdr:from>
    <xdr:to>
      <xdr:col>7</xdr:col>
      <xdr:colOff>1028700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10E6D-B248-4AF5-5FA0-0E0B3AD1B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76200</xdr:rowOff>
    </xdr:from>
    <xdr:to>
      <xdr:col>9</xdr:col>
      <xdr:colOff>160020</xdr:colOff>
      <xdr:row>14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D2E793-149E-FE21-A23E-152EB4F79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457200</xdr:colOff>
      <xdr:row>15</xdr:row>
      <xdr:rowOff>53340</xdr:rowOff>
    </xdr:from>
    <xdr:to>
      <xdr:col>9</xdr:col>
      <xdr:colOff>259080</xdr:colOff>
      <xdr:row>26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3AB0F-9069-5790-8607-9CC845499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7</xdr:row>
      <xdr:rowOff>152400</xdr:rowOff>
    </xdr:from>
    <xdr:to>
      <xdr:col>6</xdr:col>
      <xdr:colOff>1005840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F6576-4513-FE50-6835-B8883E477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144780</xdr:colOff>
      <xdr:row>0</xdr:row>
      <xdr:rowOff>106680</xdr:rowOff>
    </xdr:from>
    <xdr:to>
      <xdr:col>14</xdr:col>
      <xdr:colOff>2125980</xdr:colOff>
      <xdr:row>12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2BB996-C26B-C419-CCD5-F2F9467ED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137160</xdr:colOff>
      <xdr:row>17</xdr:row>
      <xdr:rowOff>30480</xdr:rowOff>
    </xdr:from>
    <xdr:to>
      <xdr:col>6</xdr:col>
      <xdr:colOff>1935480</xdr:colOff>
      <xdr:row>27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A9FFF5-DF71-1346-DE21-6054FF065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C18474-65C9-4844-86F8-056E6DAE7251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Category" tableColumnId="2"/>
      <queryTableField id="3" name="Test Text" tableColumnId="3"/>
      <queryTableField id="4" name="Expected Risk" tableColumnId="4"/>
      <queryTableField id="5" name="Actual Risk" tableColumnId="5"/>
      <queryTableField id="6" name="Risk Correctness" tableColumnId="6"/>
      <queryTableField id="7" name="Main Signals Expected" tableColumnId="7"/>
      <queryTableField id="8" name="Main Signals Observed" tableColumnId="8"/>
      <queryTableField id="9" name="Summary Explanation" tableColumnId="9"/>
      <queryTableField id="10" name="Advice" tableColumnId="10"/>
      <queryTableField id="11" name="Explanation Clarity" tableColumnId="11"/>
      <queryTableField id="12" name="Explanation Relevance" tableColumnId="12"/>
      <queryTableField id="13" name="Safe Rewrite" tableColumnId="13"/>
      <queryTableField id="14" name="Rewrite Risk Reduction" tableColumnId="14"/>
      <queryTableField id="15" name="Rewrite Meaning Preservation" tableColumnId="15"/>
      <queryTableField id="16" name="Rewrite Naturalness" tableColumnId="16"/>
      <queryTableField id="17" name="Processing Time (ms)" tableColumnId="17"/>
      <queryTableField id="18" name="Limitation Observed" tableColumnId="18"/>
      <queryTableField id="19" name="Not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148E9-2C21-4BEB-AB4E-3DA3802A125A}" name="exp024_system_evaluation" displayName="exp024_system_evaluation" ref="A1:S26" tableType="queryTable" totalsRowShown="0">
  <autoFilter ref="A1:S26" xr:uid="{BB3148E9-2C21-4BEB-AB4E-3DA3802A125A}"/>
  <tableColumns count="19">
    <tableColumn id="1" xr3:uid="{F67A1CFF-8685-4270-8E21-64D2EC8D0676}" uniqueName="1" name="ID" queryTableFieldId="1" dataDxfId="17"/>
    <tableColumn id="2" xr3:uid="{513BFA17-BCA7-486D-A211-3B1DC52C4CFB}" uniqueName="2" name="Category" queryTableFieldId="2" dataDxfId="16"/>
    <tableColumn id="3" xr3:uid="{7AA88CBA-74BF-4481-8D14-1786EF3DF4F7}" uniqueName="3" name="Test Text" queryTableFieldId="3" dataDxfId="15"/>
    <tableColumn id="4" xr3:uid="{524CC08D-D6E0-447A-8E23-1BE608014C71}" uniqueName="4" name="Expected Risk" queryTableFieldId="4" dataDxfId="14"/>
    <tableColumn id="5" xr3:uid="{9986E46C-E22E-4D64-86F5-6D4FAAC2D164}" uniqueName="5" name="Actual Risk" queryTableFieldId="5" dataDxfId="13"/>
    <tableColumn id="6" xr3:uid="{FC81851A-CAB6-47B9-AAF8-52BC9AFC9F90}" uniqueName="6" name="Risk Correctness" queryTableFieldId="6" dataDxfId="12"/>
    <tableColumn id="7" xr3:uid="{627BC496-4BEF-4849-BDBE-5389CC4EC6EE}" uniqueName="7" name="Main Signals Expected" queryTableFieldId="7" dataDxfId="11"/>
    <tableColumn id="8" xr3:uid="{8DB26B7C-3696-485D-8BD6-D21A2BAE22BF}" uniqueName="8" name="Main Signals Observed" queryTableFieldId="8" dataDxfId="10"/>
    <tableColumn id="9" xr3:uid="{49CC0F1F-EF8B-4402-B931-06EA662FA91C}" uniqueName="9" name="Summary Explanation" queryTableFieldId="9" dataDxfId="9"/>
    <tableColumn id="10" xr3:uid="{0486A5DE-FE36-42F3-864B-7032003CF771}" uniqueName="10" name="Advice" queryTableFieldId="10" dataDxfId="8"/>
    <tableColumn id="11" xr3:uid="{80091621-6642-48DD-8829-068B83A5CB6A}" uniqueName="11" name="Explanation Clarity" queryTableFieldId="11" dataDxfId="7"/>
    <tableColumn id="12" xr3:uid="{92474608-F338-44EF-8A0B-80CAE0E2F391}" uniqueName="12" name="Explanation Relevance" queryTableFieldId="12" dataDxfId="6"/>
    <tableColumn id="13" xr3:uid="{C3CD6E5E-FF0D-4D91-A7AC-276623F18008}" uniqueName="13" name="Safe Rewrite" queryTableFieldId="13" dataDxfId="5"/>
    <tableColumn id="14" xr3:uid="{92F4ED08-325B-4433-AABD-412C014B1C5A}" uniqueName="14" name="Rewrite Risk Reduction" queryTableFieldId="14" dataDxfId="4"/>
    <tableColumn id="15" xr3:uid="{65E52EE6-8CB9-4A2E-A899-73AE864A7947}" uniqueName="15" name="Rewrite Meaning Preservation" queryTableFieldId="15" dataDxfId="3"/>
    <tableColumn id="16" xr3:uid="{1B74D556-884C-43ED-834B-E66B33AFA231}" uniqueName="16" name="Rewrite Naturalness" queryTableFieldId="16" dataDxfId="2"/>
    <tableColumn id="17" xr3:uid="{0EEBECB3-6281-4B73-A7CE-6842A49CC940}" uniqueName="17" name="Processing Time (ms)" queryTableFieldId="17"/>
    <tableColumn id="18" xr3:uid="{5A103352-7B7D-47F7-9E70-EE534A36ACDD}" uniqueName="18" name="Limitation Observed" queryTableFieldId="18" dataDxfId="1"/>
    <tableColumn id="19" xr3:uid="{F03170B4-54A0-4604-B707-32B984A0CB74}" uniqueName="19" name="Notes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9452-CF36-4A94-B234-463687F8C2FB}">
  <dimension ref="A1:H19"/>
  <sheetViews>
    <sheetView workbookViewId="0">
      <selection activeCell="C14" sqref="C14"/>
    </sheetView>
  </sheetViews>
  <sheetFormatPr defaultRowHeight="14.4" x14ac:dyDescent="0.3"/>
  <cols>
    <col min="1" max="1" width="3" style="6" bestFit="1" customWidth="1"/>
    <col min="2" max="2" width="25.5546875" style="6" customWidth="1"/>
    <col min="3" max="3" width="58.44140625" style="6" customWidth="1"/>
    <col min="4" max="4" width="19.5546875" style="6" customWidth="1"/>
    <col min="5" max="5" width="12.44140625" style="6" customWidth="1"/>
    <col min="6" max="6" width="19.44140625" style="6" bestFit="1" customWidth="1"/>
    <col min="7" max="7" width="36" style="6" customWidth="1"/>
    <col min="8" max="8" width="32.88671875" style="6" customWidth="1"/>
    <col min="9" max="16384" width="8.88671875" style="6"/>
  </cols>
  <sheetData>
    <row r="1" spans="1:8" s="33" customFormat="1" x14ac:dyDescent="0.3">
      <c r="B1" s="33" t="s">
        <v>154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153</v>
      </c>
    </row>
    <row r="2" spans="1:8" s="34" customFormat="1" ht="22.8" customHeight="1" x14ac:dyDescent="0.3">
      <c r="A2" s="34">
        <v>1</v>
      </c>
      <c r="B2" s="34" t="s">
        <v>100</v>
      </c>
      <c r="C2" s="34" t="s">
        <v>106</v>
      </c>
      <c r="D2" s="34" t="s">
        <v>107</v>
      </c>
      <c r="E2" s="34" t="s">
        <v>108</v>
      </c>
      <c r="F2" s="34" t="s">
        <v>109</v>
      </c>
      <c r="G2" s="34" t="s">
        <v>110</v>
      </c>
      <c r="H2" s="34" t="s">
        <v>159</v>
      </c>
    </row>
    <row r="3" spans="1:8" ht="23.4" customHeight="1" x14ac:dyDescent="0.3">
      <c r="A3" s="6">
        <v>2</v>
      </c>
      <c r="B3" s="6" t="s">
        <v>111</v>
      </c>
      <c r="C3" s="6" t="s">
        <v>112</v>
      </c>
      <c r="D3" s="6" t="s">
        <v>52</v>
      </c>
      <c r="E3" s="6" t="s">
        <v>113</v>
      </c>
      <c r="F3" s="6" t="s">
        <v>114</v>
      </c>
      <c r="G3" s="6" t="s">
        <v>115</v>
      </c>
      <c r="H3" s="6" t="s">
        <v>160</v>
      </c>
    </row>
    <row r="4" spans="1:8" s="34" customFormat="1" ht="23.4" customHeight="1" x14ac:dyDescent="0.3">
      <c r="A4" s="34">
        <v>3</v>
      </c>
      <c r="B4" s="34" t="s">
        <v>174</v>
      </c>
      <c r="C4" s="34" t="s">
        <v>161</v>
      </c>
      <c r="D4" s="34" t="s">
        <v>55</v>
      </c>
      <c r="E4" s="34" t="s">
        <v>113</v>
      </c>
      <c r="F4" s="34" t="s">
        <v>162</v>
      </c>
      <c r="G4" s="34" t="s">
        <v>163</v>
      </c>
      <c r="H4" s="34" t="s">
        <v>152</v>
      </c>
    </row>
    <row r="5" spans="1:8" ht="28.8" x14ac:dyDescent="0.3">
      <c r="A5" s="6">
        <v>4</v>
      </c>
      <c r="B5" s="6" t="s">
        <v>116</v>
      </c>
      <c r="C5" s="6" t="s">
        <v>117</v>
      </c>
      <c r="D5" s="6" t="s">
        <v>56</v>
      </c>
      <c r="E5" s="6" t="s">
        <v>118</v>
      </c>
      <c r="F5" s="6" t="s">
        <v>119</v>
      </c>
      <c r="G5" s="6" t="s">
        <v>120</v>
      </c>
      <c r="H5" s="6" t="s">
        <v>164</v>
      </c>
    </row>
    <row r="6" spans="1:8" s="34" customFormat="1" ht="43.2" x14ac:dyDescent="0.3">
      <c r="A6" s="34">
        <v>5</v>
      </c>
      <c r="B6" s="34" t="s">
        <v>175</v>
      </c>
      <c r="C6" s="34" t="s">
        <v>121</v>
      </c>
      <c r="D6" s="34" t="s">
        <v>122</v>
      </c>
      <c r="E6" s="34" t="s">
        <v>113</v>
      </c>
      <c r="F6" s="34" t="s">
        <v>123</v>
      </c>
      <c r="G6" s="34" t="s">
        <v>124</v>
      </c>
      <c r="H6" s="34" t="s">
        <v>165</v>
      </c>
    </row>
    <row r="7" spans="1:8" ht="28.8" x14ac:dyDescent="0.3">
      <c r="A7" s="6">
        <v>6</v>
      </c>
      <c r="B7" s="6" t="s">
        <v>125</v>
      </c>
      <c r="C7" s="6" t="s">
        <v>126</v>
      </c>
      <c r="D7" s="6" t="s">
        <v>127</v>
      </c>
      <c r="E7" s="6" t="s">
        <v>118</v>
      </c>
      <c r="F7" s="6" t="s">
        <v>128</v>
      </c>
      <c r="G7" s="6" t="s">
        <v>129</v>
      </c>
      <c r="H7" s="6" t="s">
        <v>166</v>
      </c>
    </row>
    <row r="8" spans="1:8" s="34" customFormat="1" ht="28.8" x14ac:dyDescent="0.3">
      <c r="A8" s="34">
        <v>7</v>
      </c>
      <c r="B8" s="34" t="s">
        <v>130</v>
      </c>
      <c r="C8" s="34" t="s">
        <v>131</v>
      </c>
      <c r="D8" s="34" t="s">
        <v>132</v>
      </c>
      <c r="E8" s="34" t="s">
        <v>113</v>
      </c>
      <c r="F8" s="34" t="s">
        <v>133</v>
      </c>
      <c r="G8" s="34" t="s">
        <v>134</v>
      </c>
      <c r="H8" s="34" t="s">
        <v>167</v>
      </c>
    </row>
    <row r="9" spans="1:8" ht="28.8" x14ac:dyDescent="0.3">
      <c r="A9" s="6">
        <v>8</v>
      </c>
      <c r="B9" s="6" t="s">
        <v>135</v>
      </c>
      <c r="C9" s="6" t="s">
        <v>136</v>
      </c>
      <c r="D9" s="6" t="s">
        <v>137</v>
      </c>
      <c r="E9" s="6" t="s">
        <v>113</v>
      </c>
      <c r="F9" s="6" t="s">
        <v>138</v>
      </c>
      <c r="G9" s="6" t="s">
        <v>139</v>
      </c>
      <c r="H9" s="6" t="s">
        <v>168</v>
      </c>
    </row>
    <row r="10" spans="1:8" s="34" customFormat="1" ht="28.8" x14ac:dyDescent="0.3">
      <c r="A10" s="34">
        <v>9</v>
      </c>
      <c r="B10" s="34" t="s">
        <v>176</v>
      </c>
      <c r="C10" s="34" t="s">
        <v>140</v>
      </c>
      <c r="D10" s="34" t="s">
        <v>141</v>
      </c>
      <c r="E10" s="34" t="s">
        <v>118</v>
      </c>
      <c r="F10" s="34" t="s">
        <v>142</v>
      </c>
      <c r="G10" s="34" t="s">
        <v>143</v>
      </c>
      <c r="H10" s="34" t="s">
        <v>169</v>
      </c>
    </row>
    <row r="11" spans="1:8" ht="28.8" x14ac:dyDescent="0.3">
      <c r="A11" s="6">
        <v>10</v>
      </c>
      <c r="B11" s="6" t="s">
        <v>177</v>
      </c>
      <c r="C11" s="6" t="s">
        <v>155</v>
      </c>
      <c r="D11" s="6" t="s">
        <v>170</v>
      </c>
      <c r="E11" s="6" t="s">
        <v>118</v>
      </c>
      <c r="F11" s="6" t="s">
        <v>171</v>
      </c>
      <c r="G11" s="6" t="s">
        <v>172</v>
      </c>
      <c r="H11" s="6" t="s">
        <v>173</v>
      </c>
    </row>
    <row r="12" spans="1:8" s="34" customFormat="1" ht="43.2" x14ac:dyDescent="0.3">
      <c r="A12" s="34">
        <v>11</v>
      </c>
      <c r="B12" s="34" t="s">
        <v>144</v>
      </c>
      <c r="C12" s="34" t="s">
        <v>156</v>
      </c>
      <c r="D12" s="34" t="s">
        <v>145</v>
      </c>
      <c r="E12" s="34" t="s">
        <v>146</v>
      </c>
      <c r="F12" s="34" t="s">
        <v>147</v>
      </c>
      <c r="G12" s="34" t="s">
        <v>148</v>
      </c>
      <c r="H12" s="34" t="s">
        <v>157</v>
      </c>
    </row>
    <row r="13" spans="1:8" ht="28.8" x14ac:dyDescent="0.3">
      <c r="A13" s="6">
        <v>12</v>
      </c>
      <c r="B13" s="6" t="s">
        <v>149</v>
      </c>
      <c r="C13" s="6" t="s">
        <v>158</v>
      </c>
      <c r="D13" s="6" t="s">
        <v>107</v>
      </c>
      <c r="E13" s="6" t="s">
        <v>108</v>
      </c>
      <c r="F13" s="6" t="s">
        <v>150</v>
      </c>
      <c r="G13" s="6" t="s">
        <v>151</v>
      </c>
      <c r="H13" s="6" t="s">
        <v>159</v>
      </c>
    </row>
    <row r="15" spans="1:8" x14ac:dyDescent="0.3">
      <c r="F15" s="31"/>
    </row>
    <row r="16" spans="1:8" x14ac:dyDescent="0.3">
      <c r="F16" s="4"/>
    </row>
    <row r="17" spans="6:6" x14ac:dyDescent="0.3">
      <c r="F17" s="32"/>
    </row>
    <row r="18" spans="6:6" x14ac:dyDescent="0.3">
      <c r="F18" s="31"/>
    </row>
    <row r="19" spans="6:6" x14ac:dyDescent="0.3">
      <c r="F19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7E43-AED5-4A8A-8E7A-196C6370309A}">
  <dimension ref="B2:H25"/>
  <sheetViews>
    <sheetView workbookViewId="0">
      <selection activeCell="H21" sqref="H21"/>
    </sheetView>
  </sheetViews>
  <sheetFormatPr defaultRowHeight="14.4" x14ac:dyDescent="0.3"/>
  <cols>
    <col min="2" max="2" width="17" bestFit="1" customWidth="1"/>
    <col min="3" max="3" width="34.88671875" bestFit="1" customWidth="1"/>
    <col min="5" max="5" width="24.21875" customWidth="1"/>
    <col min="6" max="6" width="32.88671875" customWidth="1"/>
    <col min="8" max="8" width="17.77734375" customWidth="1"/>
    <col min="9" max="9" width="35.109375" customWidth="1"/>
  </cols>
  <sheetData>
    <row r="2" spans="2:8" x14ac:dyDescent="0.3">
      <c r="B2" s="78" t="s">
        <v>204</v>
      </c>
      <c r="C2" s="78"/>
      <c r="E2" s="81" t="s">
        <v>213</v>
      </c>
      <c r="F2" s="81"/>
    </row>
    <row r="3" spans="2:8" x14ac:dyDescent="0.3">
      <c r="B3" s="48" t="s">
        <v>0</v>
      </c>
      <c r="C3" s="48" t="s">
        <v>1</v>
      </c>
      <c r="E3" s="50" t="s">
        <v>214</v>
      </c>
      <c r="F3" s="50" t="s">
        <v>10</v>
      </c>
    </row>
    <row r="4" spans="2:8" x14ac:dyDescent="0.3">
      <c r="B4" s="4" t="s">
        <v>205</v>
      </c>
      <c r="C4" s="49">
        <v>384794</v>
      </c>
      <c r="E4" s="37" t="s">
        <v>250</v>
      </c>
      <c r="F4" s="15">
        <v>9674</v>
      </c>
    </row>
    <row r="5" spans="2:8" x14ac:dyDescent="0.3">
      <c r="B5" t="s">
        <v>243</v>
      </c>
      <c r="C5" s="47">
        <v>9674</v>
      </c>
      <c r="E5" s="37" t="s">
        <v>215</v>
      </c>
      <c r="F5" s="15">
        <v>88408</v>
      </c>
    </row>
    <row r="6" spans="2:8" x14ac:dyDescent="0.3">
      <c r="B6" s="4" t="s">
        <v>206</v>
      </c>
      <c r="C6" s="46" t="s">
        <v>207</v>
      </c>
      <c r="E6" s="37" t="s">
        <v>216</v>
      </c>
      <c r="F6" s="15">
        <v>83546</v>
      </c>
    </row>
    <row r="7" spans="2:8" x14ac:dyDescent="0.3">
      <c r="B7" t="s">
        <v>244</v>
      </c>
      <c r="C7" t="s">
        <v>245</v>
      </c>
      <c r="E7" s="37" t="s">
        <v>252</v>
      </c>
      <c r="F7" s="15">
        <v>79758</v>
      </c>
    </row>
    <row r="8" spans="2:8" x14ac:dyDescent="0.3">
      <c r="B8" s="4" t="s">
        <v>208</v>
      </c>
      <c r="C8" s="4">
        <v>0</v>
      </c>
      <c r="E8" s="37" t="s">
        <v>253</v>
      </c>
      <c r="F8" s="15">
        <v>77472</v>
      </c>
    </row>
    <row r="9" spans="2:8" x14ac:dyDescent="0.3">
      <c r="B9" s="4" t="s">
        <v>209</v>
      </c>
      <c r="C9" s="46" t="s">
        <v>210</v>
      </c>
      <c r="E9" s="37" t="s">
        <v>251</v>
      </c>
      <c r="F9" s="15">
        <v>45936</v>
      </c>
    </row>
    <row r="10" spans="2:8" x14ac:dyDescent="0.3">
      <c r="B10" s="4" t="s">
        <v>211</v>
      </c>
      <c r="C10" s="46" t="s">
        <v>212</v>
      </c>
    </row>
    <row r="13" spans="2:8" x14ac:dyDescent="0.3">
      <c r="B13" s="79" t="s">
        <v>217</v>
      </c>
      <c r="C13" s="79"/>
      <c r="E13" s="83" t="s">
        <v>226</v>
      </c>
      <c r="F13" s="83"/>
      <c r="H13" t="s">
        <v>248</v>
      </c>
    </row>
    <row r="14" spans="2:8" x14ac:dyDescent="0.3">
      <c r="B14" s="52" t="s">
        <v>218</v>
      </c>
      <c r="C14" s="52" t="s">
        <v>33</v>
      </c>
      <c r="E14" s="82" t="s">
        <v>254</v>
      </c>
      <c r="F14" s="82"/>
    </row>
    <row r="15" spans="2:8" x14ac:dyDescent="0.3">
      <c r="B15" s="4" t="s">
        <v>219</v>
      </c>
      <c r="C15" s="4" t="s">
        <v>220</v>
      </c>
      <c r="E15" s="82" t="s">
        <v>255</v>
      </c>
      <c r="F15" s="82"/>
    </row>
    <row r="16" spans="2:8" x14ac:dyDescent="0.3">
      <c r="B16" s="4" t="s">
        <v>221</v>
      </c>
      <c r="C16" s="4" t="s">
        <v>246</v>
      </c>
      <c r="E16" s="82" t="s">
        <v>256</v>
      </c>
      <c r="F16" s="82"/>
    </row>
    <row r="17" spans="2:6" x14ac:dyDescent="0.3">
      <c r="C17" t="s">
        <v>240</v>
      </c>
      <c r="E17" s="82" t="s">
        <v>247</v>
      </c>
      <c r="F17" s="82"/>
    </row>
    <row r="18" spans="2:6" x14ac:dyDescent="0.3">
      <c r="C18" t="s">
        <v>241</v>
      </c>
    </row>
    <row r="19" spans="2:6" x14ac:dyDescent="0.3">
      <c r="C19" t="s">
        <v>242</v>
      </c>
      <c r="E19" s="51" t="s">
        <v>232</v>
      </c>
      <c r="F19" s="51" t="s">
        <v>236</v>
      </c>
    </row>
    <row r="20" spans="2:6" x14ac:dyDescent="0.3">
      <c r="B20" s="4" t="s">
        <v>222</v>
      </c>
      <c r="C20" s="4" t="s">
        <v>223</v>
      </c>
      <c r="E20" t="s">
        <v>233</v>
      </c>
      <c r="F20" t="s">
        <v>237</v>
      </c>
    </row>
    <row r="21" spans="2:6" x14ac:dyDescent="0.3">
      <c r="B21" s="4" t="s">
        <v>224</v>
      </c>
      <c r="C21" s="4" t="s">
        <v>225</v>
      </c>
      <c r="E21" s="4" t="s">
        <v>234</v>
      </c>
      <c r="F21" s="4" t="s">
        <v>238</v>
      </c>
    </row>
    <row r="22" spans="2:6" x14ac:dyDescent="0.3">
      <c r="E22" t="s">
        <v>235</v>
      </c>
      <c r="F22" t="s">
        <v>239</v>
      </c>
    </row>
    <row r="23" spans="2:6" x14ac:dyDescent="0.3">
      <c r="B23" s="80" t="s">
        <v>227</v>
      </c>
      <c r="C23" s="80"/>
    </row>
    <row r="24" spans="2:6" x14ac:dyDescent="0.3">
      <c r="B24" s="4" t="s">
        <v>228</v>
      </c>
      <c r="C24" s="4" t="s">
        <v>230</v>
      </c>
    </row>
    <row r="25" spans="2:6" x14ac:dyDescent="0.3">
      <c r="B25" s="4" t="s">
        <v>229</v>
      </c>
      <c r="C25" s="4" t="s">
        <v>231</v>
      </c>
    </row>
  </sheetData>
  <mergeCells count="9">
    <mergeCell ref="B2:C2"/>
    <mergeCell ref="B13:C13"/>
    <mergeCell ref="B23:C23"/>
    <mergeCell ref="E2:F2"/>
    <mergeCell ref="E17:F17"/>
    <mergeCell ref="E16:F16"/>
    <mergeCell ref="E15:F15"/>
    <mergeCell ref="E14:F14"/>
    <mergeCell ref="E13:F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EE60-E20E-4B3E-940F-339ADE5E396D}">
  <dimension ref="B1:M25"/>
  <sheetViews>
    <sheetView workbookViewId="0">
      <selection activeCell="H16" sqref="H16"/>
    </sheetView>
  </sheetViews>
  <sheetFormatPr defaultRowHeight="14.4" x14ac:dyDescent="0.3"/>
  <cols>
    <col min="1" max="1" width="2.33203125" customWidth="1"/>
    <col min="2" max="2" width="13.33203125" bestFit="1" customWidth="1"/>
    <col min="3" max="3" width="33.44140625" bestFit="1" customWidth="1"/>
    <col min="4" max="4" width="5.5546875" bestFit="1" customWidth="1"/>
    <col min="5" max="5" width="5.33203125" customWidth="1"/>
    <col min="6" max="6" width="15.88671875" bestFit="1" customWidth="1"/>
    <col min="7" max="7" width="24.77734375" bestFit="1" customWidth="1"/>
    <col min="8" max="8" width="34.5546875" bestFit="1" customWidth="1"/>
    <col min="9" max="9" width="6.5546875" bestFit="1" customWidth="1"/>
    <col min="10" max="10" width="3.44140625" customWidth="1"/>
    <col min="11" max="11" width="18.109375" customWidth="1"/>
    <col min="12" max="12" width="11.5546875" bestFit="1" customWidth="1"/>
    <col min="13" max="13" width="30.44140625" bestFit="1" customWidth="1"/>
  </cols>
  <sheetData>
    <row r="1" spans="2:13" ht="21" x14ac:dyDescent="0.4">
      <c r="C1" s="84" t="s">
        <v>83</v>
      </c>
      <c r="D1" s="84"/>
      <c r="E1" s="84"/>
      <c r="F1" s="84"/>
      <c r="G1" s="84"/>
      <c r="H1" s="84"/>
      <c r="I1" s="84"/>
      <c r="J1" s="84"/>
      <c r="K1" s="84"/>
      <c r="L1" s="84"/>
    </row>
    <row r="2" spans="2:13" ht="6" customHeight="1" x14ac:dyDescent="0.3"/>
    <row r="3" spans="2:13" x14ac:dyDescent="0.3">
      <c r="B3" s="92" t="s">
        <v>98</v>
      </c>
      <c r="C3" s="93"/>
      <c r="F3" s="89" t="s">
        <v>96</v>
      </c>
      <c r="G3" s="90"/>
      <c r="H3" s="90"/>
      <c r="I3" s="91"/>
      <c r="K3" s="94" t="s">
        <v>97</v>
      </c>
      <c r="L3" s="95"/>
      <c r="M3" s="96"/>
    </row>
    <row r="4" spans="2:13" x14ac:dyDescent="0.3">
      <c r="B4" s="7" t="s">
        <v>19</v>
      </c>
      <c r="C4" s="8" t="s">
        <v>1</v>
      </c>
      <c r="F4" s="7" t="s">
        <v>31</v>
      </c>
      <c r="G4" s="5" t="s">
        <v>32</v>
      </c>
      <c r="H4" s="86" t="s">
        <v>33</v>
      </c>
      <c r="I4" s="86"/>
      <c r="K4" s="7" t="s">
        <v>49</v>
      </c>
      <c r="L4" s="5" t="s">
        <v>50</v>
      </c>
      <c r="M4" s="8" t="s">
        <v>51</v>
      </c>
    </row>
    <row r="5" spans="2:13" x14ac:dyDescent="0.3">
      <c r="B5" s="9" t="s">
        <v>20</v>
      </c>
      <c r="C5" s="10" t="s">
        <v>21</v>
      </c>
      <c r="F5" s="9" t="s">
        <v>34</v>
      </c>
      <c r="G5" s="6" t="s">
        <v>35</v>
      </c>
      <c r="H5" s="88" t="s">
        <v>36</v>
      </c>
      <c r="I5" s="88"/>
      <c r="K5" s="9" t="s">
        <v>52</v>
      </c>
      <c r="L5" s="6" t="s">
        <v>53</v>
      </c>
      <c r="M5" s="19" t="s">
        <v>54</v>
      </c>
    </row>
    <row r="6" spans="2:13" x14ac:dyDescent="0.3">
      <c r="B6" s="9" t="s">
        <v>22</v>
      </c>
      <c r="C6" s="10" t="s">
        <v>23</v>
      </c>
      <c r="F6" s="9" t="s">
        <v>37</v>
      </c>
      <c r="G6" s="6" t="s">
        <v>38</v>
      </c>
      <c r="H6" s="88" t="s">
        <v>39</v>
      </c>
      <c r="I6" s="88"/>
      <c r="K6" s="9" t="s">
        <v>55</v>
      </c>
      <c r="L6" s="6" t="s">
        <v>53</v>
      </c>
      <c r="M6" s="19" t="s">
        <v>35</v>
      </c>
    </row>
    <row r="7" spans="2:13" x14ac:dyDescent="0.3">
      <c r="B7" s="9" t="s">
        <v>24</v>
      </c>
      <c r="C7" s="11" t="s">
        <v>249</v>
      </c>
      <c r="F7" s="9" t="s">
        <v>40</v>
      </c>
      <c r="G7" s="6" t="s">
        <v>41</v>
      </c>
      <c r="H7" s="88" t="s">
        <v>42</v>
      </c>
      <c r="I7" s="88"/>
      <c r="K7" s="9" t="s">
        <v>56</v>
      </c>
      <c r="L7" s="6" t="s">
        <v>53</v>
      </c>
      <c r="M7" s="19" t="s">
        <v>54</v>
      </c>
    </row>
    <row r="8" spans="2:13" x14ac:dyDescent="0.3">
      <c r="B8" s="9" t="s">
        <v>25</v>
      </c>
      <c r="C8" s="10" t="s">
        <v>26</v>
      </c>
      <c r="F8" s="9" t="s">
        <v>43</v>
      </c>
      <c r="G8" s="6" t="s">
        <v>44</v>
      </c>
      <c r="H8" s="88" t="s">
        <v>45</v>
      </c>
      <c r="I8" s="88"/>
      <c r="K8" s="9" t="s">
        <v>57</v>
      </c>
      <c r="L8" s="6" t="s">
        <v>58</v>
      </c>
      <c r="M8" s="19" t="s">
        <v>59</v>
      </c>
    </row>
    <row r="9" spans="2:13" x14ac:dyDescent="0.3">
      <c r="B9" s="9" t="s">
        <v>27</v>
      </c>
      <c r="C9" s="10" t="s">
        <v>28</v>
      </c>
      <c r="F9" s="12" t="s">
        <v>46</v>
      </c>
      <c r="G9" s="20" t="s">
        <v>47</v>
      </c>
      <c r="H9" s="102" t="s">
        <v>48</v>
      </c>
      <c r="I9" s="103"/>
      <c r="K9" s="9" t="s">
        <v>60</v>
      </c>
      <c r="L9" s="6" t="s">
        <v>58</v>
      </c>
      <c r="M9" s="19" t="s">
        <v>59</v>
      </c>
    </row>
    <row r="10" spans="2:13" x14ac:dyDescent="0.3">
      <c r="B10" s="12" t="s">
        <v>29</v>
      </c>
      <c r="C10" s="13" t="s">
        <v>30</v>
      </c>
      <c r="K10" s="9" t="s">
        <v>61</v>
      </c>
      <c r="L10" s="6" t="s">
        <v>58</v>
      </c>
      <c r="M10" s="19" t="s">
        <v>59</v>
      </c>
    </row>
    <row r="11" spans="2:13" x14ac:dyDescent="0.3">
      <c r="K11" s="24"/>
      <c r="L11" s="24"/>
      <c r="M11" s="24"/>
    </row>
    <row r="12" spans="2:13" x14ac:dyDescent="0.3">
      <c r="B12" s="99" t="s">
        <v>99</v>
      </c>
      <c r="C12" s="100"/>
      <c r="D12" s="101"/>
      <c r="E12" s="2"/>
      <c r="K12" s="107" t="s">
        <v>70</v>
      </c>
      <c r="L12" s="108"/>
      <c r="M12" s="109"/>
    </row>
    <row r="13" spans="2:13" x14ac:dyDescent="0.3">
      <c r="B13" s="7" t="s">
        <v>62</v>
      </c>
      <c r="C13" s="14" t="s">
        <v>63</v>
      </c>
      <c r="D13" s="8" t="s">
        <v>64</v>
      </c>
      <c r="E13" s="5"/>
      <c r="K13" s="110" t="s">
        <v>71</v>
      </c>
      <c r="L13" s="85"/>
      <c r="M13" s="8" t="s">
        <v>72</v>
      </c>
    </row>
    <row r="14" spans="2:13" x14ac:dyDescent="0.3">
      <c r="B14" s="9" t="s">
        <v>65</v>
      </c>
      <c r="C14" s="15">
        <v>70000</v>
      </c>
      <c r="D14" s="16">
        <v>0.7</v>
      </c>
      <c r="E14" s="30"/>
      <c r="K14" s="111" t="s">
        <v>73</v>
      </c>
      <c r="L14" s="112"/>
      <c r="M14" s="19" t="s">
        <v>74</v>
      </c>
    </row>
    <row r="15" spans="2:13" x14ac:dyDescent="0.3">
      <c r="B15" s="9" t="s">
        <v>66</v>
      </c>
      <c r="C15" s="15">
        <v>15000</v>
      </c>
      <c r="D15" s="16">
        <v>0.15</v>
      </c>
      <c r="E15" s="30"/>
      <c r="K15" s="113" t="s">
        <v>75</v>
      </c>
      <c r="L15" s="87"/>
      <c r="M15" s="19" t="s">
        <v>76</v>
      </c>
    </row>
    <row r="16" spans="2:13" x14ac:dyDescent="0.3">
      <c r="B16" s="9" t="s">
        <v>67</v>
      </c>
      <c r="C16" s="15">
        <v>15000</v>
      </c>
      <c r="D16" s="16">
        <v>0.15</v>
      </c>
      <c r="E16" s="30"/>
      <c r="K16" s="113" t="s">
        <v>77</v>
      </c>
      <c r="L16" s="87"/>
      <c r="M16" s="19" t="s">
        <v>78</v>
      </c>
    </row>
    <row r="17" spans="2:13" x14ac:dyDescent="0.3">
      <c r="B17" s="12" t="s">
        <v>68</v>
      </c>
      <c r="C17" s="17">
        <v>100000</v>
      </c>
      <c r="D17" s="18">
        <v>1</v>
      </c>
      <c r="E17" s="30"/>
      <c r="K17" s="113" t="s">
        <v>79</v>
      </c>
      <c r="L17" s="87"/>
      <c r="M17" s="19" t="s">
        <v>80</v>
      </c>
    </row>
    <row r="18" spans="2:13" x14ac:dyDescent="0.3">
      <c r="F18" s="114" t="s">
        <v>94</v>
      </c>
      <c r="G18" s="115"/>
      <c r="H18" s="115"/>
      <c r="I18" s="115"/>
      <c r="J18" s="2"/>
      <c r="K18" s="116" t="s">
        <v>81</v>
      </c>
      <c r="L18" s="102"/>
      <c r="M18" s="21" t="s">
        <v>82</v>
      </c>
    </row>
    <row r="19" spans="2:13" x14ac:dyDescent="0.3">
      <c r="B19" s="97" t="s">
        <v>95</v>
      </c>
      <c r="C19" s="98"/>
      <c r="F19" s="7" t="s">
        <v>49</v>
      </c>
      <c r="G19" s="14" t="s">
        <v>65</v>
      </c>
      <c r="H19" s="14" t="s">
        <v>66</v>
      </c>
      <c r="I19" s="25" t="s">
        <v>67</v>
      </c>
      <c r="J19" s="14"/>
    </row>
    <row r="20" spans="2:13" x14ac:dyDescent="0.3">
      <c r="B20" s="7" t="s">
        <v>62</v>
      </c>
      <c r="C20" s="8" t="s">
        <v>69</v>
      </c>
      <c r="F20" s="9" t="s">
        <v>52</v>
      </c>
      <c r="G20" s="26">
        <v>216</v>
      </c>
      <c r="H20" s="26">
        <v>47</v>
      </c>
      <c r="I20" s="27">
        <v>49</v>
      </c>
      <c r="J20" s="26"/>
      <c r="K20" s="104" t="s">
        <v>93</v>
      </c>
      <c r="L20" s="105"/>
      <c r="M20" s="106"/>
    </row>
    <row r="21" spans="2:13" x14ac:dyDescent="0.3">
      <c r="B21" s="9" t="s">
        <v>65</v>
      </c>
      <c r="C21" s="22">
        <v>54754</v>
      </c>
      <c r="F21" s="9" t="s">
        <v>55</v>
      </c>
      <c r="G21" s="15">
        <v>6787</v>
      </c>
      <c r="H21" s="15">
        <v>1457</v>
      </c>
      <c r="I21" s="28">
        <v>1468</v>
      </c>
      <c r="J21" s="15"/>
      <c r="K21" s="7" t="s">
        <v>84</v>
      </c>
      <c r="L21" s="85" t="s">
        <v>33</v>
      </c>
      <c r="M21" s="86"/>
    </row>
    <row r="22" spans="2:13" ht="28.8" x14ac:dyDescent="0.3">
      <c r="B22" s="9" t="s">
        <v>66</v>
      </c>
      <c r="C22" s="22">
        <v>11700</v>
      </c>
      <c r="F22" s="9" t="s">
        <v>56</v>
      </c>
      <c r="G22" s="26">
        <v>482</v>
      </c>
      <c r="H22" s="26">
        <v>122</v>
      </c>
      <c r="I22" s="27">
        <v>120</v>
      </c>
      <c r="J22" s="26"/>
      <c r="K22" s="9" t="s">
        <v>85</v>
      </c>
      <c r="L22" s="87" t="s">
        <v>86</v>
      </c>
      <c r="M22" s="88"/>
    </row>
    <row r="23" spans="2:13" x14ac:dyDescent="0.3">
      <c r="B23" s="12" t="s">
        <v>67</v>
      </c>
      <c r="C23" s="23">
        <v>11684</v>
      </c>
      <c r="F23" s="9" t="s">
        <v>57</v>
      </c>
      <c r="G23" s="15">
        <v>66763</v>
      </c>
      <c r="H23" s="15">
        <v>14160</v>
      </c>
      <c r="I23" s="28">
        <v>14258</v>
      </c>
      <c r="J23" s="15"/>
      <c r="K23" s="9" t="s">
        <v>87</v>
      </c>
      <c r="L23" s="87" t="s">
        <v>88</v>
      </c>
      <c r="M23" s="88"/>
    </row>
    <row r="24" spans="2:13" ht="28.8" x14ac:dyDescent="0.3">
      <c r="F24" s="9" t="s">
        <v>60</v>
      </c>
      <c r="G24" s="15">
        <v>22363</v>
      </c>
      <c r="H24" s="15">
        <v>4723</v>
      </c>
      <c r="I24" s="28">
        <v>4699</v>
      </c>
      <c r="J24" s="15"/>
      <c r="K24" s="9" t="s">
        <v>89</v>
      </c>
      <c r="L24" s="87" t="s">
        <v>90</v>
      </c>
      <c r="M24" s="88"/>
    </row>
    <row r="25" spans="2:13" x14ac:dyDescent="0.3">
      <c r="F25" s="12" t="s">
        <v>61</v>
      </c>
      <c r="G25" s="17">
        <v>40069</v>
      </c>
      <c r="H25" s="17">
        <v>8522</v>
      </c>
      <c r="I25" s="29">
        <v>8393</v>
      </c>
      <c r="J25" s="15"/>
      <c r="K25" s="12" t="s">
        <v>91</v>
      </c>
      <c r="L25" s="102" t="s">
        <v>92</v>
      </c>
      <c r="M25" s="103"/>
    </row>
  </sheetData>
  <mergeCells count="26">
    <mergeCell ref="L25:M25"/>
    <mergeCell ref="K20:M20"/>
    <mergeCell ref="K12:M12"/>
    <mergeCell ref="H7:I7"/>
    <mergeCell ref="H8:I8"/>
    <mergeCell ref="H9:I9"/>
    <mergeCell ref="K13:L13"/>
    <mergeCell ref="K14:L14"/>
    <mergeCell ref="K15:L15"/>
    <mergeCell ref="K16:L16"/>
    <mergeCell ref="K17:L17"/>
    <mergeCell ref="F18:I18"/>
    <mergeCell ref="K18:L18"/>
    <mergeCell ref="C1:L1"/>
    <mergeCell ref="L21:M21"/>
    <mergeCell ref="L22:M22"/>
    <mergeCell ref="L23:M23"/>
    <mergeCell ref="L24:M24"/>
    <mergeCell ref="F3:I3"/>
    <mergeCell ref="B3:C3"/>
    <mergeCell ref="K3:M3"/>
    <mergeCell ref="B19:C19"/>
    <mergeCell ref="B12:D12"/>
    <mergeCell ref="H4:I4"/>
    <mergeCell ref="H5:I5"/>
    <mergeCell ref="H6:I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BDB3-9AAB-43A7-AA03-2958BB3B15C3}">
  <dimension ref="A1:T23"/>
  <sheetViews>
    <sheetView workbookViewId="0">
      <selection activeCell="D17" sqref="D17"/>
    </sheetView>
  </sheetViews>
  <sheetFormatPr defaultRowHeight="14.4" x14ac:dyDescent="0.3"/>
  <cols>
    <col min="1" max="1" width="1.21875" customWidth="1"/>
    <col min="2" max="2" width="10.77734375" customWidth="1"/>
    <col min="5" max="5" width="13.77734375" customWidth="1"/>
    <col min="8" max="8" width="11.33203125" bestFit="1" customWidth="1"/>
    <col min="9" max="9" width="8.88671875" customWidth="1"/>
    <col min="10" max="10" width="14" customWidth="1"/>
    <col min="11" max="11" width="22.88671875" bestFit="1" customWidth="1"/>
    <col min="12" max="12" width="1.5546875" customWidth="1"/>
    <col min="14" max="14" width="13.5546875" customWidth="1"/>
    <col min="18" max="18" width="9.6640625" bestFit="1" customWidth="1"/>
    <col min="19" max="19" width="6" bestFit="1" customWidth="1"/>
    <col min="20" max="20" width="22.88671875" bestFit="1" customWidth="1"/>
  </cols>
  <sheetData>
    <row r="1" spans="1:20" x14ac:dyDescent="0.3">
      <c r="A1" s="3"/>
    </row>
    <row r="2" spans="1:20" x14ac:dyDescent="0.3">
      <c r="B2" s="128" t="s">
        <v>203</v>
      </c>
      <c r="C2" s="129"/>
      <c r="D2" s="129"/>
      <c r="E2" s="129"/>
      <c r="F2" s="129"/>
      <c r="G2" s="129"/>
      <c r="H2" s="129"/>
      <c r="I2" s="129"/>
      <c r="J2" s="129"/>
      <c r="K2" s="130"/>
      <c r="M2" s="125" t="s">
        <v>202</v>
      </c>
      <c r="N2" s="126"/>
      <c r="O2" s="126"/>
      <c r="P2" s="126"/>
      <c r="Q2" s="126"/>
      <c r="R2" s="126"/>
      <c r="S2" s="126"/>
      <c r="T2" s="127"/>
    </row>
    <row r="3" spans="1:20" x14ac:dyDescent="0.3">
      <c r="A3" s="35"/>
      <c r="B3" s="7" t="s">
        <v>178</v>
      </c>
      <c r="C3" s="5" t="s">
        <v>179</v>
      </c>
      <c r="D3" s="5" t="s">
        <v>180</v>
      </c>
      <c r="E3" s="5" t="s">
        <v>197</v>
      </c>
      <c r="F3" s="5" t="s">
        <v>181</v>
      </c>
      <c r="G3" s="5" t="s">
        <v>182</v>
      </c>
      <c r="H3" s="5" t="s">
        <v>183</v>
      </c>
      <c r="I3" s="5" t="s">
        <v>184</v>
      </c>
      <c r="J3" s="5" t="s">
        <v>198</v>
      </c>
      <c r="K3" s="8" t="s">
        <v>193</v>
      </c>
      <c r="M3" s="7" t="s">
        <v>178</v>
      </c>
      <c r="N3" s="5" t="s">
        <v>191</v>
      </c>
      <c r="O3" s="5" t="s">
        <v>55</v>
      </c>
      <c r="P3" s="5" t="s">
        <v>56</v>
      </c>
      <c r="Q3" s="5" t="s">
        <v>57</v>
      </c>
      <c r="R3" s="5" t="s">
        <v>60</v>
      </c>
      <c r="S3" s="5" t="s">
        <v>192</v>
      </c>
      <c r="T3" s="8" t="s">
        <v>199</v>
      </c>
    </row>
    <row r="4" spans="1:20" x14ac:dyDescent="0.3">
      <c r="A4" s="36"/>
      <c r="B4" s="9" t="s">
        <v>185</v>
      </c>
      <c r="C4" s="6" t="s">
        <v>186</v>
      </c>
      <c r="D4" s="26">
        <v>12</v>
      </c>
      <c r="E4" s="26" t="s">
        <v>186</v>
      </c>
      <c r="F4" s="26">
        <v>0.86399999999999999</v>
      </c>
      <c r="G4" s="26">
        <v>0.86799999999999999</v>
      </c>
      <c r="H4" s="26">
        <v>0.86599999999999999</v>
      </c>
      <c r="I4" s="26" t="s">
        <v>187</v>
      </c>
      <c r="J4" s="26">
        <v>18.39</v>
      </c>
      <c r="K4" s="38" t="s">
        <v>194</v>
      </c>
      <c r="M4" s="9" t="s">
        <v>185</v>
      </c>
      <c r="N4" s="26">
        <v>0.89300000000000002</v>
      </c>
      <c r="O4" s="26">
        <v>0.997</v>
      </c>
      <c r="P4" s="26">
        <v>0</v>
      </c>
      <c r="Q4" s="26">
        <v>0.876</v>
      </c>
      <c r="R4" s="26">
        <v>0.88400000000000001</v>
      </c>
      <c r="S4" s="26">
        <v>0.81699999999999995</v>
      </c>
      <c r="T4" s="38" t="s">
        <v>200</v>
      </c>
    </row>
    <row r="5" spans="1:20" s="43" customFormat="1" ht="28.8" x14ac:dyDescent="0.3">
      <c r="A5" s="41"/>
      <c r="B5" s="9" t="s">
        <v>185</v>
      </c>
      <c r="C5" s="6" t="s">
        <v>189</v>
      </c>
      <c r="D5" s="26">
        <v>1</v>
      </c>
      <c r="E5" s="26" t="s">
        <v>189</v>
      </c>
      <c r="F5" s="26">
        <v>0.84899999999999998</v>
      </c>
      <c r="G5" s="26">
        <v>0.82499999999999996</v>
      </c>
      <c r="H5" s="26" t="s">
        <v>259</v>
      </c>
      <c r="I5" s="26" t="s">
        <v>187</v>
      </c>
      <c r="J5" s="26">
        <v>18.27</v>
      </c>
      <c r="K5" s="42" t="s">
        <v>258</v>
      </c>
      <c r="M5" s="9" t="s">
        <v>185</v>
      </c>
      <c r="N5" s="26">
        <v>0.82350000000000001</v>
      </c>
      <c r="O5" s="26">
        <v>0.99690000000000001</v>
      </c>
      <c r="P5" s="26">
        <v>0</v>
      </c>
      <c r="Q5" s="26">
        <v>0.84660000000000002</v>
      </c>
      <c r="R5" s="26">
        <v>0.85540000000000005</v>
      </c>
      <c r="S5" s="26">
        <v>0.77829999999999999</v>
      </c>
      <c r="T5" s="42" t="s">
        <v>258</v>
      </c>
    </row>
    <row r="6" spans="1:20" x14ac:dyDescent="0.3">
      <c r="A6" s="44"/>
      <c r="B6" s="45" t="s">
        <v>188</v>
      </c>
      <c r="C6" s="4" t="s">
        <v>189</v>
      </c>
      <c r="D6" s="46">
        <v>1</v>
      </c>
      <c r="E6" s="46" t="s">
        <v>189</v>
      </c>
      <c r="F6" s="46">
        <v>0.66600000000000004</v>
      </c>
      <c r="G6" s="46">
        <v>0.6</v>
      </c>
      <c r="H6" s="46">
        <v>0.63200000000000001</v>
      </c>
      <c r="I6" s="46">
        <v>0.96899999999999997</v>
      </c>
      <c r="J6" s="46">
        <v>52.55</v>
      </c>
      <c r="K6" s="38" t="s">
        <v>195</v>
      </c>
      <c r="M6" s="45" t="s">
        <v>188</v>
      </c>
      <c r="N6" s="46">
        <v>0</v>
      </c>
      <c r="O6" s="46">
        <v>0.98599999999999999</v>
      </c>
      <c r="P6" s="46">
        <v>0.753</v>
      </c>
      <c r="Q6" s="46">
        <v>0.64</v>
      </c>
      <c r="R6" s="46">
        <v>0.64900000000000002</v>
      </c>
      <c r="S6" s="46">
        <v>0.53300000000000003</v>
      </c>
      <c r="T6" s="38" t="s">
        <v>201</v>
      </c>
    </row>
    <row r="7" spans="1:20" x14ac:dyDescent="0.3">
      <c r="A7" s="36"/>
      <c r="B7" s="9" t="s">
        <v>190</v>
      </c>
      <c r="C7" s="6" t="s">
        <v>189</v>
      </c>
      <c r="D7" s="26">
        <v>1</v>
      </c>
      <c r="E7" s="26" t="s">
        <v>189</v>
      </c>
      <c r="F7" s="26">
        <v>0.66700000000000004</v>
      </c>
      <c r="G7" s="26">
        <v>0.624</v>
      </c>
      <c r="H7" s="26">
        <v>0.64500000000000002</v>
      </c>
      <c r="I7" s="26">
        <v>0.96899999999999997</v>
      </c>
      <c r="J7" s="26">
        <v>99.53</v>
      </c>
      <c r="K7" s="38" t="s">
        <v>257</v>
      </c>
      <c r="M7" s="9" t="s">
        <v>190</v>
      </c>
      <c r="N7" s="26">
        <v>9.0999999999999998E-2</v>
      </c>
      <c r="O7" s="26">
        <v>0.99199999999999999</v>
      </c>
      <c r="P7" s="26">
        <v>0.84</v>
      </c>
      <c r="Q7" s="26">
        <v>0.65200000000000002</v>
      </c>
      <c r="R7" s="26">
        <v>0.65800000000000003</v>
      </c>
      <c r="S7" s="26">
        <v>0.55400000000000005</v>
      </c>
      <c r="T7" s="38" t="s">
        <v>257</v>
      </c>
    </row>
    <row r="8" spans="1:20" s="43" customFormat="1" ht="28.8" x14ac:dyDescent="0.3">
      <c r="B8" s="12" t="s">
        <v>196</v>
      </c>
      <c r="C8" s="53" t="s">
        <v>189</v>
      </c>
      <c r="D8" s="54">
        <v>1</v>
      </c>
      <c r="E8" s="40" t="s">
        <v>189</v>
      </c>
      <c r="F8" s="54">
        <v>0.66400000000000003</v>
      </c>
      <c r="G8" s="54">
        <v>0.62009999999999998</v>
      </c>
      <c r="H8" s="54">
        <v>0.64100000000000001</v>
      </c>
      <c r="I8" s="54">
        <v>0.97019999999999995</v>
      </c>
      <c r="J8" s="54">
        <v>98.4</v>
      </c>
      <c r="K8" s="55" t="s">
        <v>260</v>
      </c>
      <c r="M8" s="12" t="s">
        <v>196</v>
      </c>
      <c r="N8" s="54">
        <v>9.5000000000000001E-2</v>
      </c>
      <c r="O8" s="54">
        <v>0.98870000000000002</v>
      </c>
      <c r="P8" s="54">
        <v>0.87670000000000003</v>
      </c>
      <c r="Q8" s="54">
        <v>0.65449999999999997</v>
      </c>
      <c r="R8" s="54">
        <v>0.66390000000000005</v>
      </c>
      <c r="S8" s="54">
        <v>0.53369999999999995</v>
      </c>
      <c r="T8" s="55" t="s">
        <v>261</v>
      </c>
    </row>
    <row r="9" spans="1:20" x14ac:dyDescent="0.3">
      <c r="D9" s="1"/>
      <c r="E9" s="1"/>
      <c r="F9" s="1"/>
      <c r="G9" s="1"/>
      <c r="H9" s="1"/>
      <c r="I9" s="1"/>
      <c r="J9" s="1"/>
      <c r="N9" s="1"/>
      <c r="O9" s="1"/>
      <c r="P9" s="1"/>
      <c r="Q9" s="1"/>
      <c r="R9" s="1"/>
      <c r="S9" s="1"/>
    </row>
    <row r="10" spans="1:20" ht="18" x14ac:dyDescent="0.3">
      <c r="B10" s="120" t="s">
        <v>271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56"/>
      <c r="O10" s="56"/>
      <c r="P10" s="56"/>
      <c r="Q10" s="56"/>
      <c r="R10" s="56"/>
      <c r="S10" s="56"/>
    </row>
    <row r="11" spans="1:20" ht="18" x14ac:dyDescent="0.35">
      <c r="B11" s="121" t="s">
        <v>262</v>
      </c>
      <c r="C11" s="122"/>
      <c r="E11" s="131" t="s">
        <v>263</v>
      </c>
      <c r="F11" s="132"/>
      <c r="G11" s="132"/>
      <c r="H11" s="132"/>
      <c r="I11" s="132"/>
      <c r="J11" s="132"/>
      <c r="K11" s="133"/>
      <c r="N11" s="5"/>
      <c r="O11" s="5"/>
      <c r="P11" s="5"/>
      <c r="Q11" s="5"/>
      <c r="R11" s="85"/>
      <c r="S11" s="85"/>
      <c r="T11" s="85"/>
    </row>
    <row r="12" spans="1:20" x14ac:dyDescent="0.3">
      <c r="B12" s="60"/>
      <c r="C12" s="38"/>
      <c r="E12" s="57" t="s">
        <v>264</v>
      </c>
      <c r="F12" s="48" t="s">
        <v>183</v>
      </c>
      <c r="G12" s="123" t="s">
        <v>265</v>
      </c>
      <c r="H12" s="123"/>
      <c r="I12" s="123"/>
      <c r="J12" s="123"/>
      <c r="K12" s="124"/>
      <c r="N12" s="6"/>
      <c r="O12" s="26"/>
      <c r="P12" s="6"/>
      <c r="Q12" s="26"/>
      <c r="R12" s="87"/>
      <c r="S12" s="87"/>
      <c r="T12" s="87"/>
    </row>
    <row r="13" spans="1:20" ht="14.4" customHeight="1" x14ac:dyDescent="0.3">
      <c r="A13" s="35"/>
      <c r="B13" s="61" t="s">
        <v>272</v>
      </c>
      <c r="C13" s="38">
        <v>0.85960000000000003</v>
      </c>
      <c r="E13" s="45" t="s">
        <v>191</v>
      </c>
      <c r="F13" s="32">
        <v>0.95120000000000005</v>
      </c>
      <c r="G13" s="82" t="s">
        <v>266</v>
      </c>
      <c r="H13" s="82"/>
      <c r="I13" s="82"/>
      <c r="J13" s="82"/>
      <c r="K13" s="117"/>
      <c r="N13" s="6"/>
      <c r="O13" s="26"/>
      <c r="P13" s="6"/>
      <c r="Q13" s="26"/>
      <c r="R13" s="87"/>
      <c r="S13" s="87"/>
      <c r="T13" s="87"/>
    </row>
    <row r="14" spans="1:20" x14ac:dyDescent="0.3">
      <c r="A14" s="35"/>
      <c r="B14" s="61" t="s">
        <v>273</v>
      </c>
      <c r="C14" s="38">
        <v>0.87219999999999998</v>
      </c>
      <c r="E14" s="45" t="s">
        <v>55</v>
      </c>
      <c r="F14" s="32">
        <v>0.99660000000000004</v>
      </c>
      <c r="G14" s="82" t="s">
        <v>267</v>
      </c>
      <c r="H14" s="82"/>
      <c r="I14" s="82"/>
      <c r="J14" s="82"/>
      <c r="K14" s="117"/>
      <c r="N14" s="6"/>
      <c r="O14" s="26"/>
      <c r="P14" s="6"/>
      <c r="Q14" s="26"/>
      <c r="R14" s="87"/>
      <c r="S14" s="87"/>
      <c r="T14" s="87"/>
    </row>
    <row r="15" spans="1:20" x14ac:dyDescent="0.3">
      <c r="A15" s="36"/>
      <c r="B15" s="62" t="s">
        <v>274</v>
      </c>
      <c r="C15" s="39">
        <v>0.8659</v>
      </c>
      <c r="E15" s="45" t="s">
        <v>57</v>
      </c>
      <c r="F15" s="32">
        <v>0.87439999999999996</v>
      </c>
      <c r="G15" s="82" t="s">
        <v>268</v>
      </c>
      <c r="H15" s="82"/>
      <c r="I15" s="82"/>
      <c r="J15" s="82"/>
      <c r="K15" s="117"/>
      <c r="N15" s="6"/>
      <c r="O15" s="26"/>
      <c r="P15" s="6"/>
      <c r="Q15" s="26"/>
      <c r="R15" s="87"/>
      <c r="S15" s="87"/>
      <c r="T15" s="87"/>
    </row>
    <row r="16" spans="1:20" ht="14.4" customHeight="1" x14ac:dyDescent="0.3">
      <c r="A16" s="36"/>
      <c r="E16" s="45" t="s">
        <v>60</v>
      </c>
      <c r="F16" s="32">
        <v>0.87649999999999995</v>
      </c>
      <c r="G16" s="82" t="s">
        <v>269</v>
      </c>
      <c r="H16" s="82"/>
      <c r="I16" s="82"/>
      <c r="J16" s="82"/>
      <c r="K16" s="117"/>
      <c r="N16" s="6"/>
      <c r="O16" s="26"/>
      <c r="P16" s="6"/>
      <c r="Q16" s="26"/>
      <c r="R16" s="87"/>
      <c r="S16" s="87"/>
      <c r="T16" s="87"/>
    </row>
    <row r="17" spans="1:11" ht="14.4" customHeight="1" x14ac:dyDescent="0.3">
      <c r="A17" s="36"/>
      <c r="E17" s="45" t="s">
        <v>192</v>
      </c>
      <c r="F17" s="32">
        <v>0.82240000000000002</v>
      </c>
      <c r="G17" s="82" t="s">
        <v>3</v>
      </c>
      <c r="H17" s="82"/>
      <c r="I17" s="82"/>
      <c r="J17" s="82"/>
      <c r="K17" s="117"/>
    </row>
    <row r="18" spans="1:11" x14ac:dyDescent="0.3">
      <c r="A18" s="36"/>
      <c r="E18" s="58" t="s">
        <v>56</v>
      </c>
      <c r="F18" s="59">
        <v>0</v>
      </c>
      <c r="G18" s="118" t="s">
        <v>270</v>
      </c>
      <c r="H18" s="118"/>
      <c r="I18" s="118"/>
      <c r="J18" s="118"/>
      <c r="K18" s="119"/>
    </row>
    <row r="19" spans="1:11" x14ac:dyDescent="0.3">
      <c r="A19" s="36"/>
      <c r="H19" s="1"/>
    </row>
    <row r="20" spans="1:11" x14ac:dyDescent="0.3">
      <c r="H20" s="1" t="s">
        <v>248</v>
      </c>
    </row>
    <row r="21" spans="1:11" x14ac:dyDescent="0.3">
      <c r="H21" s="1"/>
    </row>
    <row r="22" spans="1:11" x14ac:dyDescent="0.3">
      <c r="A22" s="35"/>
    </row>
    <row r="23" spans="1:11" x14ac:dyDescent="0.3">
      <c r="A23" s="36"/>
    </row>
  </sheetData>
  <mergeCells count="18">
    <mergeCell ref="R16:T16"/>
    <mergeCell ref="M2:T2"/>
    <mergeCell ref="B2:K2"/>
    <mergeCell ref="R11:T11"/>
    <mergeCell ref="R12:T12"/>
    <mergeCell ref="R13:T13"/>
    <mergeCell ref="R14:T14"/>
    <mergeCell ref="R15:T15"/>
    <mergeCell ref="G15:K15"/>
    <mergeCell ref="E11:K11"/>
    <mergeCell ref="G16:K16"/>
    <mergeCell ref="G17:K17"/>
    <mergeCell ref="G18:K18"/>
    <mergeCell ref="B10:M10"/>
    <mergeCell ref="B11:C11"/>
    <mergeCell ref="G12:K12"/>
    <mergeCell ref="G13:K13"/>
    <mergeCell ref="G14:K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5850-57BB-403F-AB43-58B025FD1B45}">
  <dimension ref="B2:J20"/>
  <sheetViews>
    <sheetView workbookViewId="0">
      <selection activeCell="L16" sqref="L16"/>
    </sheetView>
  </sheetViews>
  <sheetFormatPr defaultRowHeight="14.4" x14ac:dyDescent="0.3"/>
  <cols>
    <col min="2" max="2" width="16" bestFit="1" customWidth="1"/>
    <col min="3" max="3" width="21.88671875" bestFit="1" customWidth="1"/>
    <col min="4" max="4" width="18.77734375" customWidth="1"/>
    <col min="8" max="8" width="17.33203125" customWidth="1"/>
    <col min="9" max="9" width="19.6640625" customWidth="1"/>
    <col min="12" max="12" width="17.77734375" customWidth="1"/>
  </cols>
  <sheetData>
    <row r="2" spans="2:10" x14ac:dyDescent="0.3">
      <c r="B2" s="134" t="s">
        <v>282</v>
      </c>
      <c r="C2" s="135"/>
      <c r="E2" s="94" t="s">
        <v>291</v>
      </c>
      <c r="F2" s="95"/>
      <c r="G2" s="96"/>
      <c r="I2" s="136" t="s">
        <v>293</v>
      </c>
      <c r="J2" s="137"/>
    </row>
    <row r="3" spans="2:10" x14ac:dyDescent="0.3">
      <c r="B3" s="7" t="s">
        <v>19</v>
      </c>
      <c r="C3" s="8" t="s">
        <v>1</v>
      </c>
      <c r="E3" s="7" t="s">
        <v>62</v>
      </c>
      <c r="F3" s="5" t="s">
        <v>292</v>
      </c>
      <c r="G3" s="8" t="s">
        <v>64</v>
      </c>
      <c r="I3" s="7" t="s">
        <v>49</v>
      </c>
      <c r="J3" s="8" t="s">
        <v>10</v>
      </c>
    </row>
    <row r="4" spans="2:10" x14ac:dyDescent="0.3">
      <c r="B4" s="9" t="s">
        <v>283</v>
      </c>
      <c r="C4" s="19" t="s">
        <v>284</v>
      </c>
      <c r="E4" s="9" t="s">
        <v>65</v>
      </c>
      <c r="F4" s="6">
        <v>2469</v>
      </c>
      <c r="G4" s="16">
        <v>0.7</v>
      </c>
      <c r="I4" s="9" t="s">
        <v>294</v>
      </c>
      <c r="J4" s="19">
        <v>597</v>
      </c>
    </row>
    <row r="5" spans="2:10" ht="16.2" customHeight="1" x14ac:dyDescent="0.3">
      <c r="B5" s="9" t="s">
        <v>24</v>
      </c>
      <c r="C5" s="19">
        <v>3528</v>
      </c>
      <c r="E5" s="9" t="s">
        <v>66</v>
      </c>
      <c r="F5" s="6">
        <v>529</v>
      </c>
      <c r="G5" s="16">
        <v>0.15</v>
      </c>
      <c r="I5" s="9" t="s">
        <v>295</v>
      </c>
      <c r="J5" s="19">
        <v>579</v>
      </c>
    </row>
    <row r="6" spans="2:10" x14ac:dyDescent="0.3">
      <c r="B6" s="9" t="s">
        <v>285</v>
      </c>
      <c r="C6" s="19" t="s">
        <v>286</v>
      </c>
      <c r="E6" s="12" t="s">
        <v>67</v>
      </c>
      <c r="F6" s="20">
        <v>530</v>
      </c>
      <c r="G6" s="18">
        <v>0.15</v>
      </c>
      <c r="I6" s="9" t="s">
        <v>296</v>
      </c>
      <c r="J6" s="19">
        <v>637</v>
      </c>
    </row>
    <row r="7" spans="2:10" x14ac:dyDescent="0.3">
      <c r="B7" s="9" t="s">
        <v>287</v>
      </c>
      <c r="C7" s="19" t="s">
        <v>288</v>
      </c>
      <c r="I7" s="9" t="s">
        <v>297</v>
      </c>
      <c r="J7" s="19">
        <v>557</v>
      </c>
    </row>
    <row r="8" spans="2:10" x14ac:dyDescent="0.3">
      <c r="B8" s="12" t="s">
        <v>289</v>
      </c>
      <c r="C8" s="21" t="s">
        <v>290</v>
      </c>
      <c r="I8" s="9" t="s">
        <v>298</v>
      </c>
      <c r="J8" s="19">
        <v>572</v>
      </c>
    </row>
    <row r="9" spans="2:10" x14ac:dyDescent="0.3">
      <c r="I9" s="12" t="s">
        <v>299</v>
      </c>
      <c r="J9" s="21">
        <v>517</v>
      </c>
    </row>
    <row r="13" spans="2:10" x14ac:dyDescent="0.3">
      <c r="B13" s="97" t="s">
        <v>314</v>
      </c>
      <c r="C13" s="138"/>
      <c r="D13" s="138"/>
      <c r="E13" s="98"/>
      <c r="H13" s="139" t="s">
        <v>345</v>
      </c>
      <c r="I13" s="140"/>
    </row>
    <row r="14" spans="2:10" x14ac:dyDescent="0.3">
      <c r="B14" s="7" t="s">
        <v>300</v>
      </c>
      <c r="C14" s="5" t="s">
        <v>301</v>
      </c>
      <c r="D14" s="5" t="s">
        <v>302</v>
      </c>
      <c r="E14" s="8" t="s">
        <v>303</v>
      </c>
      <c r="H14" s="7" t="s">
        <v>50</v>
      </c>
      <c r="I14" s="8" t="s">
        <v>10</v>
      </c>
    </row>
    <row r="15" spans="2:10" x14ac:dyDescent="0.3">
      <c r="B15" s="9" t="s">
        <v>304</v>
      </c>
      <c r="C15" s="6" t="s">
        <v>305</v>
      </c>
      <c r="D15" s="6" t="s">
        <v>306</v>
      </c>
      <c r="E15" s="19" t="s">
        <v>307</v>
      </c>
      <c r="H15" s="9" t="s">
        <v>346</v>
      </c>
      <c r="I15" s="19">
        <v>2543</v>
      </c>
    </row>
    <row r="16" spans="2:10" ht="28.8" x14ac:dyDescent="0.3">
      <c r="B16" s="9" t="s">
        <v>308</v>
      </c>
      <c r="C16" s="6">
        <v>3293</v>
      </c>
      <c r="D16" s="6" t="s">
        <v>309</v>
      </c>
      <c r="E16" s="19" t="s">
        <v>310</v>
      </c>
      <c r="H16" s="9" t="s">
        <v>347</v>
      </c>
      <c r="I16" s="19">
        <v>345</v>
      </c>
    </row>
    <row r="17" spans="2:9" x14ac:dyDescent="0.3">
      <c r="B17" s="12" t="s">
        <v>311</v>
      </c>
      <c r="C17" s="20">
        <v>3528</v>
      </c>
      <c r="D17" s="20" t="s">
        <v>312</v>
      </c>
      <c r="E17" s="21" t="s">
        <v>313</v>
      </c>
      <c r="H17" s="9" t="s">
        <v>348</v>
      </c>
      <c r="I17" s="19">
        <v>124</v>
      </c>
    </row>
    <row r="18" spans="2:9" x14ac:dyDescent="0.3">
      <c r="H18" s="9" t="s">
        <v>349</v>
      </c>
      <c r="I18" s="19">
        <v>107</v>
      </c>
    </row>
    <row r="19" spans="2:9" x14ac:dyDescent="0.3">
      <c r="H19" s="9" t="s">
        <v>350</v>
      </c>
      <c r="I19" s="19">
        <v>63</v>
      </c>
    </row>
    <row r="20" spans="2:9" x14ac:dyDescent="0.3">
      <c r="H20" s="12" t="s">
        <v>351</v>
      </c>
      <c r="I20" s="21">
        <v>235</v>
      </c>
    </row>
  </sheetData>
  <mergeCells count="5">
    <mergeCell ref="B2:C2"/>
    <mergeCell ref="E2:G2"/>
    <mergeCell ref="I2:J2"/>
    <mergeCell ref="B13:E13"/>
    <mergeCell ref="H13:I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5C17-E8F5-46AA-B282-73FE4D332D2D}">
  <dimension ref="A1:M26"/>
  <sheetViews>
    <sheetView workbookViewId="0">
      <selection activeCell="F11" sqref="F11"/>
    </sheetView>
  </sheetViews>
  <sheetFormatPr defaultRowHeight="14.4" x14ac:dyDescent="0.3"/>
  <cols>
    <col min="1" max="1" width="17.6640625" bestFit="1" customWidth="1"/>
    <col min="2" max="2" width="13.6640625" bestFit="1" customWidth="1"/>
    <col min="3" max="3" width="12.21875" bestFit="1" customWidth="1"/>
    <col min="4" max="4" width="12.5546875" bestFit="1" customWidth="1"/>
    <col min="5" max="5" width="18.5546875" bestFit="1" customWidth="1"/>
    <col min="6" max="6" width="35.5546875" customWidth="1"/>
    <col min="7" max="7" width="10" customWidth="1"/>
    <col min="8" max="8" width="15" bestFit="1" customWidth="1"/>
    <col min="9" max="9" width="17.6640625" bestFit="1" customWidth="1"/>
    <col min="10" max="10" width="12.21875" bestFit="1" customWidth="1"/>
    <col min="11" max="11" width="19.6640625" bestFit="1" customWidth="1"/>
    <col min="12" max="12" width="20" customWidth="1"/>
    <col min="13" max="13" width="24.6640625" customWidth="1"/>
  </cols>
  <sheetData>
    <row r="1" spans="1:12" x14ac:dyDescent="0.3">
      <c r="A1" s="146" t="s">
        <v>315</v>
      </c>
      <c r="B1" s="147"/>
      <c r="C1" s="147"/>
      <c r="D1" s="147"/>
      <c r="E1" s="147"/>
      <c r="F1" s="148"/>
      <c r="H1" s="156" t="s">
        <v>322</v>
      </c>
      <c r="I1" s="157"/>
      <c r="J1" s="157"/>
      <c r="K1" s="157"/>
      <c r="L1" s="158"/>
    </row>
    <row r="2" spans="1:12" x14ac:dyDescent="0.3">
      <c r="A2" s="7" t="s">
        <v>178</v>
      </c>
      <c r="B2" s="5" t="s">
        <v>179</v>
      </c>
      <c r="C2" s="5" t="s">
        <v>316</v>
      </c>
      <c r="D2" s="5" t="s">
        <v>317</v>
      </c>
      <c r="E2" s="5" t="s">
        <v>318</v>
      </c>
      <c r="F2" s="8" t="s">
        <v>199</v>
      </c>
      <c r="H2" s="7" t="s">
        <v>101</v>
      </c>
      <c r="I2" s="5" t="s">
        <v>323</v>
      </c>
      <c r="J2" s="5" t="s">
        <v>324</v>
      </c>
      <c r="K2" s="5" t="s">
        <v>352</v>
      </c>
      <c r="L2" s="8" t="s">
        <v>353</v>
      </c>
    </row>
    <row r="3" spans="1:12" x14ac:dyDescent="0.3">
      <c r="A3" s="9" t="s">
        <v>188</v>
      </c>
      <c r="B3" s="6" t="s">
        <v>308</v>
      </c>
      <c r="C3" s="6">
        <v>0.91259999999999997</v>
      </c>
      <c r="D3" s="6">
        <v>0.96430000000000005</v>
      </c>
      <c r="E3" s="6">
        <v>0.9637</v>
      </c>
      <c r="F3" s="19" t="s">
        <v>319</v>
      </c>
      <c r="H3" s="9" t="s">
        <v>325</v>
      </c>
      <c r="I3" s="6" t="s">
        <v>326</v>
      </c>
      <c r="J3" s="6" t="s">
        <v>298</v>
      </c>
      <c r="K3" s="6">
        <v>0.8</v>
      </c>
      <c r="L3" s="19" t="s">
        <v>354</v>
      </c>
    </row>
    <row r="4" spans="1:12" ht="28.8" x14ac:dyDescent="0.3">
      <c r="A4" s="9" t="s">
        <v>188</v>
      </c>
      <c r="B4" s="6" t="s">
        <v>311</v>
      </c>
      <c r="C4" s="6">
        <v>0.87329999999999997</v>
      </c>
      <c r="D4" s="6">
        <v>0.93540000000000001</v>
      </c>
      <c r="E4" s="6">
        <v>0.92269999999999996</v>
      </c>
      <c r="F4" s="19" t="s">
        <v>320</v>
      </c>
      <c r="H4" s="9" t="s">
        <v>327</v>
      </c>
      <c r="I4" s="6" t="s">
        <v>326</v>
      </c>
      <c r="J4" s="6" t="s">
        <v>294</v>
      </c>
      <c r="K4" s="6">
        <v>0.95</v>
      </c>
      <c r="L4" s="19" t="s">
        <v>355</v>
      </c>
    </row>
    <row r="5" spans="1:12" ht="28.8" x14ac:dyDescent="0.3">
      <c r="A5" s="9" t="s">
        <v>196</v>
      </c>
      <c r="B5" s="6" t="s">
        <v>311</v>
      </c>
      <c r="C5" s="6">
        <v>0.88090000000000002</v>
      </c>
      <c r="D5" s="6">
        <v>0.94520000000000004</v>
      </c>
      <c r="E5" s="6">
        <v>0.9304</v>
      </c>
      <c r="F5" s="19" t="s">
        <v>359</v>
      </c>
      <c r="H5" s="9" t="s">
        <v>328</v>
      </c>
      <c r="I5" s="6" t="s">
        <v>326</v>
      </c>
      <c r="J5" s="6" t="s">
        <v>299</v>
      </c>
      <c r="K5" s="6">
        <v>0.74</v>
      </c>
      <c r="L5" s="19" t="s">
        <v>356</v>
      </c>
    </row>
    <row r="6" spans="1:12" ht="28.8" x14ac:dyDescent="0.3">
      <c r="A6" s="12" t="s">
        <v>190</v>
      </c>
      <c r="B6" s="20" t="s">
        <v>311</v>
      </c>
      <c r="C6" s="20">
        <v>0.87709999999999999</v>
      </c>
      <c r="D6" s="20">
        <v>0.94420000000000004</v>
      </c>
      <c r="E6" s="20">
        <v>0.9304</v>
      </c>
      <c r="F6" s="21" t="s">
        <v>360</v>
      </c>
      <c r="H6" s="9" t="s">
        <v>329</v>
      </c>
      <c r="I6" s="6" t="s">
        <v>326</v>
      </c>
      <c r="J6" s="6" t="s">
        <v>297</v>
      </c>
      <c r="K6" s="6">
        <v>0.93</v>
      </c>
      <c r="L6" s="19" t="s">
        <v>357</v>
      </c>
    </row>
    <row r="7" spans="1:12" ht="28.8" x14ac:dyDescent="0.3">
      <c r="A7" s="6"/>
      <c r="B7" s="6"/>
      <c r="C7" s="6"/>
      <c r="D7" s="6"/>
      <c r="E7" s="6"/>
      <c r="F7" s="6"/>
      <c r="H7" s="12" t="s">
        <v>386</v>
      </c>
      <c r="I7" s="20" t="s">
        <v>326</v>
      </c>
      <c r="J7" s="20" t="s">
        <v>326</v>
      </c>
      <c r="K7" s="20" t="s">
        <v>187</v>
      </c>
      <c r="L7" s="21" t="s">
        <v>387</v>
      </c>
    </row>
    <row r="9" spans="1:12" x14ac:dyDescent="0.3">
      <c r="A9" s="99" t="s">
        <v>321</v>
      </c>
      <c r="B9" s="100"/>
      <c r="C9" s="100"/>
      <c r="D9" s="100"/>
      <c r="E9" s="101"/>
      <c r="H9" s="151" t="s">
        <v>333</v>
      </c>
      <c r="I9" s="152"/>
      <c r="K9" s="149" t="s">
        <v>330</v>
      </c>
      <c r="L9" s="150"/>
    </row>
    <row r="10" spans="1:12" x14ac:dyDescent="0.3">
      <c r="A10" s="7" t="s">
        <v>49</v>
      </c>
      <c r="B10" s="5" t="s">
        <v>188</v>
      </c>
      <c r="C10" s="5" t="s">
        <v>196</v>
      </c>
      <c r="D10" s="5" t="s">
        <v>190</v>
      </c>
      <c r="E10" s="8" t="s">
        <v>265</v>
      </c>
      <c r="H10" s="7" t="s">
        <v>84</v>
      </c>
      <c r="I10" s="8" t="s">
        <v>33</v>
      </c>
      <c r="K10" s="7" t="s">
        <v>71</v>
      </c>
      <c r="L10" s="8" t="s">
        <v>72</v>
      </c>
    </row>
    <row r="11" spans="1:12" ht="43.2" x14ac:dyDescent="0.3">
      <c r="A11" s="9" t="s">
        <v>294</v>
      </c>
      <c r="B11" s="6">
        <v>0.95</v>
      </c>
      <c r="C11" s="6">
        <v>0.9708</v>
      </c>
      <c r="D11" s="6">
        <v>0.96030000000000004</v>
      </c>
      <c r="E11" s="19" t="s">
        <v>361</v>
      </c>
      <c r="H11" s="9" t="s">
        <v>334</v>
      </c>
      <c r="I11" s="19" t="s">
        <v>335</v>
      </c>
      <c r="K11" s="9" t="s">
        <v>331</v>
      </c>
      <c r="L11" s="19" t="s">
        <v>376</v>
      </c>
    </row>
    <row r="12" spans="1:12" ht="28.8" x14ac:dyDescent="0.3">
      <c r="A12" s="9" t="s">
        <v>295</v>
      </c>
      <c r="B12" s="6">
        <v>0.92</v>
      </c>
      <c r="C12" s="6">
        <v>0.92220000000000002</v>
      </c>
      <c r="D12" s="6">
        <v>0.9022</v>
      </c>
      <c r="E12" s="19" t="s">
        <v>362</v>
      </c>
      <c r="H12" s="9" t="s">
        <v>336</v>
      </c>
      <c r="I12" s="19" t="s">
        <v>337</v>
      </c>
      <c r="K12" s="9" t="s">
        <v>377</v>
      </c>
      <c r="L12" s="19" t="s">
        <v>378</v>
      </c>
    </row>
    <row r="13" spans="1:12" ht="28.8" x14ac:dyDescent="0.3">
      <c r="A13" s="9" t="s">
        <v>296</v>
      </c>
      <c r="B13" s="6">
        <v>0.91</v>
      </c>
      <c r="C13" s="6">
        <v>0.92830000000000001</v>
      </c>
      <c r="D13" s="6">
        <v>0.94810000000000005</v>
      </c>
      <c r="E13" s="19" t="s">
        <v>363</v>
      </c>
      <c r="F13" t="s">
        <v>248</v>
      </c>
      <c r="H13" s="9" t="s">
        <v>338</v>
      </c>
      <c r="I13" s="19" t="s">
        <v>339</v>
      </c>
      <c r="K13" s="9" t="s">
        <v>332</v>
      </c>
      <c r="L13" s="19" t="s">
        <v>379</v>
      </c>
    </row>
    <row r="14" spans="1:12" ht="28.8" x14ac:dyDescent="0.3">
      <c r="A14" s="9" t="s">
        <v>297</v>
      </c>
      <c r="B14" s="6">
        <v>0.84699999999999998</v>
      </c>
      <c r="C14" s="6">
        <v>0.83330000000000004</v>
      </c>
      <c r="D14" s="6">
        <v>0.84750000000000003</v>
      </c>
      <c r="E14" s="19" t="s">
        <v>364</v>
      </c>
      <c r="H14" s="12" t="s">
        <v>340</v>
      </c>
      <c r="I14" s="21" t="s">
        <v>341</v>
      </c>
      <c r="K14" s="9" t="s">
        <v>380</v>
      </c>
      <c r="L14" s="19" t="s">
        <v>381</v>
      </c>
    </row>
    <row r="15" spans="1:12" ht="28.8" x14ac:dyDescent="0.3">
      <c r="A15" s="9" t="s">
        <v>298</v>
      </c>
      <c r="B15" s="6">
        <v>0.93600000000000005</v>
      </c>
      <c r="C15" s="6">
        <v>0.96589999999999998</v>
      </c>
      <c r="D15" s="6">
        <v>0.96589999999999998</v>
      </c>
      <c r="E15" s="19" t="s">
        <v>365</v>
      </c>
      <c r="K15" s="12" t="s">
        <v>382</v>
      </c>
      <c r="L15" s="21" t="s">
        <v>383</v>
      </c>
    </row>
    <row r="16" spans="1:12" x14ac:dyDescent="0.3">
      <c r="A16" s="12" t="s">
        <v>299</v>
      </c>
      <c r="B16" s="20">
        <v>0.96499999999999997</v>
      </c>
      <c r="C16" s="20">
        <v>0.9617</v>
      </c>
      <c r="D16" s="20">
        <v>0.95830000000000004</v>
      </c>
      <c r="E16" s="21" t="s">
        <v>366</v>
      </c>
    </row>
    <row r="18" spans="1:13" x14ac:dyDescent="0.3">
      <c r="H18" s="153" t="s">
        <v>358</v>
      </c>
      <c r="I18" s="154"/>
      <c r="J18" s="154"/>
      <c r="K18" s="154"/>
      <c r="L18" s="154"/>
      <c r="M18" s="155"/>
    </row>
    <row r="19" spans="1:13" x14ac:dyDescent="0.3">
      <c r="A19" s="141" t="s">
        <v>367</v>
      </c>
      <c r="B19" s="142"/>
      <c r="C19" s="142"/>
      <c r="D19" s="143"/>
      <c r="F19" s="67" t="s">
        <v>384</v>
      </c>
      <c r="H19" s="7" t="s">
        <v>178</v>
      </c>
      <c r="I19" s="5" t="s">
        <v>180</v>
      </c>
      <c r="J19" s="5" t="s">
        <v>342</v>
      </c>
      <c r="K19" s="5" t="s">
        <v>343</v>
      </c>
      <c r="L19" s="5" t="s">
        <v>344</v>
      </c>
      <c r="M19" s="8" t="s">
        <v>179</v>
      </c>
    </row>
    <row r="20" spans="1:13" x14ac:dyDescent="0.3">
      <c r="A20" s="7" t="s">
        <v>178</v>
      </c>
      <c r="B20" s="5" t="s">
        <v>317</v>
      </c>
      <c r="C20" s="5" t="s">
        <v>368</v>
      </c>
      <c r="D20" s="8" t="s">
        <v>369</v>
      </c>
      <c r="F20" s="144" t="s">
        <v>385</v>
      </c>
      <c r="H20" s="9" t="s">
        <v>188</v>
      </c>
      <c r="I20" s="6">
        <v>2</v>
      </c>
      <c r="J20" s="6">
        <v>8</v>
      </c>
      <c r="K20" s="66">
        <v>2.0000000000000002E-5</v>
      </c>
      <c r="L20" s="6">
        <v>0.01</v>
      </c>
      <c r="M20" s="19" t="s">
        <v>311</v>
      </c>
    </row>
    <row r="21" spans="1:13" ht="28.8" x14ac:dyDescent="0.3">
      <c r="A21" s="9" t="s">
        <v>196</v>
      </c>
      <c r="B21" s="6">
        <v>0.94520000000000004</v>
      </c>
      <c r="C21" s="6" t="s">
        <v>370</v>
      </c>
      <c r="D21" s="19" t="s">
        <v>371</v>
      </c>
      <c r="F21" s="144"/>
      <c r="H21" s="9" t="s">
        <v>196</v>
      </c>
      <c r="I21" s="6">
        <v>3</v>
      </c>
      <c r="J21" s="6">
        <v>8</v>
      </c>
      <c r="K21" s="66">
        <v>2.0000000000000002E-5</v>
      </c>
      <c r="L21" s="6">
        <v>0.01</v>
      </c>
      <c r="M21" s="19" t="s">
        <v>311</v>
      </c>
    </row>
    <row r="22" spans="1:13" ht="28.8" x14ac:dyDescent="0.3">
      <c r="A22" s="9" t="s">
        <v>190</v>
      </c>
      <c r="B22" s="6">
        <v>0.94420000000000004</v>
      </c>
      <c r="C22" s="6" t="s">
        <v>372</v>
      </c>
      <c r="D22" s="19" t="s">
        <v>373</v>
      </c>
      <c r="F22" s="144"/>
    </row>
    <row r="23" spans="1:13" ht="28.8" x14ac:dyDescent="0.3">
      <c r="A23" s="12" t="s">
        <v>188</v>
      </c>
      <c r="B23" s="20">
        <v>0.93540000000000001</v>
      </c>
      <c r="C23" s="20" t="s">
        <v>374</v>
      </c>
      <c r="D23" s="21" t="s">
        <v>375</v>
      </c>
      <c r="F23" s="145"/>
    </row>
    <row r="26" spans="1:13" x14ac:dyDescent="0.3">
      <c r="G26" s="63"/>
    </row>
  </sheetData>
  <mergeCells count="8">
    <mergeCell ref="A19:D19"/>
    <mergeCell ref="F20:F23"/>
    <mergeCell ref="A1:F1"/>
    <mergeCell ref="K9:L9"/>
    <mergeCell ref="H9:I9"/>
    <mergeCell ref="H18:M18"/>
    <mergeCell ref="H1:L1"/>
    <mergeCell ref="A9:E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D1D1-4E2F-4DDF-97CF-F4B56C711B59}">
  <dimension ref="B2:M16"/>
  <sheetViews>
    <sheetView workbookViewId="0">
      <selection activeCell="C19" sqref="C19"/>
    </sheetView>
  </sheetViews>
  <sheetFormatPr defaultRowHeight="14.4" x14ac:dyDescent="0.3"/>
  <cols>
    <col min="3" max="3" width="12.88671875" customWidth="1"/>
    <col min="6" max="6" width="31.44140625" customWidth="1"/>
    <col min="9" max="9" width="16.6640625" customWidth="1"/>
    <col min="10" max="10" width="11.33203125" customWidth="1"/>
    <col min="13" max="13" width="15.5546875" customWidth="1"/>
  </cols>
  <sheetData>
    <row r="2" spans="2:13" x14ac:dyDescent="0.3">
      <c r="B2" s="159" t="s">
        <v>388</v>
      </c>
      <c r="C2" s="159"/>
      <c r="D2" s="159"/>
      <c r="E2" s="159"/>
      <c r="F2" s="159"/>
      <c r="I2" s="79" t="s">
        <v>389</v>
      </c>
      <c r="J2" s="79"/>
      <c r="K2" s="79"/>
      <c r="L2" s="79"/>
      <c r="M2" s="79"/>
    </row>
    <row r="3" spans="2:13" x14ac:dyDescent="0.3">
      <c r="B3" s="5" t="s">
        <v>178</v>
      </c>
      <c r="C3" s="5" t="s">
        <v>316</v>
      </c>
      <c r="D3" s="5" t="s">
        <v>317</v>
      </c>
      <c r="E3" s="5" t="s">
        <v>318</v>
      </c>
      <c r="F3" s="5" t="s">
        <v>199</v>
      </c>
      <c r="I3" s="5" t="s">
        <v>11</v>
      </c>
      <c r="J3" s="5" t="s">
        <v>188</v>
      </c>
      <c r="K3" s="5" t="s">
        <v>196</v>
      </c>
      <c r="L3" s="5" t="s">
        <v>190</v>
      </c>
      <c r="M3" s="5" t="s">
        <v>71</v>
      </c>
    </row>
    <row r="4" spans="2:13" ht="28.8" x14ac:dyDescent="0.3">
      <c r="B4" s="6" t="s">
        <v>188</v>
      </c>
      <c r="C4" s="6">
        <v>0.80769999999999997</v>
      </c>
      <c r="D4" s="6">
        <v>0.8387</v>
      </c>
      <c r="E4" s="6">
        <v>0.84209999999999996</v>
      </c>
      <c r="F4" s="43" t="s">
        <v>413</v>
      </c>
      <c r="I4" s="6" t="s">
        <v>390</v>
      </c>
      <c r="J4" s="6">
        <v>1</v>
      </c>
      <c r="K4" s="6">
        <v>1</v>
      </c>
      <c r="L4" s="6">
        <v>1</v>
      </c>
      <c r="M4" s="6" t="s">
        <v>391</v>
      </c>
    </row>
    <row r="5" spans="2:13" ht="28.8" x14ac:dyDescent="0.3">
      <c r="B5" s="6" t="s">
        <v>196</v>
      </c>
      <c r="C5" s="6">
        <v>0.78849999999999998</v>
      </c>
      <c r="D5" s="6">
        <v>0.83079999999999998</v>
      </c>
      <c r="E5" s="6">
        <v>0.83989999999999998</v>
      </c>
      <c r="F5" s="43" t="s">
        <v>414</v>
      </c>
      <c r="I5" s="6" t="s">
        <v>392</v>
      </c>
      <c r="J5" s="6">
        <v>1</v>
      </c>
      <c r="K5" s="6">
        <v>1</v>
      </c>
      <c r="L5" s="6">
        <v>1</v>
      </c>
      <c r="M5" s="6" t="s">
        <v>393</v>
      </c>
    </row>
    <row r="6" spans="2:13" ht="28.8" x14ac:dyDescent="0.3">
      <c r="B6" s="6" t="s">
        <v>190</v>
      </c>
      <c r="C6" s="6">
        <v>0.75</v>
      </c>
      <c r="D6" s="6">
        <v>0.80600000000000005</v>
      </c>
      <c r="E6" s="6">
        <v>0.80869999999999997</v>
      </c>
      <c r="F6" s="6" t="s">
        <v>415</v>
      </c>
      <c r="I6" s="6" t="s">
        <v>394</v>
      </c>
      <c r="J6" s="6">
        <v>0.5</v>
      </c>
      <c r="K6" s="6">
        <v>0.4</v>
      </c>
      <c r="L6" s="6">
        <v>0.2</v>
      </c>
      <c r="M6" s="6" t="s">
        <v>395</v>
      </c>
    </row>
    <row r="7" spans="2:13" ht="28.8" x14ac:dyDescent="0.3">
      <c r="I7" s="6" t="s">
        <v>396</v>
      </c>
      <c r="J7" s="6">
        <v>0.83</v>
      </c>
      <c r="K7" s="6">
        <v>0.66</v>
      </c>
      <c r="L7" s="6">
        <v>0.83</v>
      </c>
      <c r="M7" s="6" t="s">
        <v>397</v>
      </c>
    </row>
    <row r="8" spans="2:13" x14ac:dyDescent="0.3">
      <c r="I8" s="6" t="s">
        <v>398</v>
      </c>
      <c r="J8" s="6" t="s">
        <v>399</v>
      </c>
      <c r="K8" s="6" t="s">
        <v>399</v>
      </c>
      <c r="L8" s="6" t="s">
        <v>399</v>
      </c>
      <c r="M8" s="6" t="s">
        <v>400</v>
      </c>
    </row>
    <row r="9" spans="2:13" x14ac:dyDescent="0.3">
      <c r="I9" s="6" t="s">
        <v>401</v>
      </c>
      <c r="J9" s="6" t="s">
        <v>402</v>
      </c>
      <c r="K9" s="6" t="s">
        <v>402</v>
      </c>
      <c r="L9" s="6" t="s">
        <v>402</v>
      </c>
      <c r="M9" s="6" t="s">
        <v>403</v>
      </c>
    </row>
    <row r="12" spans="2:13" x14ac:dyDescent="0.3">
      <c r="B12" s="160" t="s">
        <v>404</v>
      </c>
      <c r="C12" s="160"/>
      <c r="D12" s="160"/>
      <c r="E12" s="160"/>
      <c r="F12" s="160"/>
      <c r="G12" s="160"/>
    </row>
    <row r="13" spans="2:13" ht="28.8" x14ac:dyDescent="0.3">
      <c r="B13" s="5" t="s">
        <v>101</v>
      </c>
      <c r="C13" s="5" t="b">
        <v>1</v>
      </c>
      <c r="D13" s="5" t="s">
        <v>405</v>
      </c>
      <c r="E13" s="5" t="s">
        <v>196</v>
      </c>
      <c r="F13" s="5" t="s">
        <v>190</v>
      </c>
      <c r="G13" s="5" t="s">
        <v>406</v>
      </c>
      <c r="I13" s="68" t="s">
        <v>416</v>
      </c>
      <c r="J13" s="24"/>
      <c r="K13" s="24"/>
      <c r="L13" s="24"/>
      <c r="M13" s="69"/>
    </row>
    <row r="14" spans="2:13" x14ac:dyDescent="0.3">
      <c r="B14" s="6" t="s">
        <v>325</v>
      </c>
      <c r="C14" s="6" t="s">
        <v>326</v>
      </c>
      <c r="D14" s="6" t="s">
        <v>407</v>
      </c>
      <c r="E14" s="6" t="s">
        <v>407</v>
      </c>
      <c r="F14" s="6" t="s">
        <v>407</v>
      </c>
      <c r="G14" s="6" t="s">
        <v>408</v>
      </c>
      <c r="I14" s="63" t="s">
        <v>417</v>
      </c>
      <c r="M14" s="38"/>
    </row>
    <row r="15" spans="2:13" ht="28.8" x14ac:dyDescent="0.3">
      <c r="B15" s="6" t="s">
        <v>328</v>
      </c>
      <c r="C15" s="6" t="s">
        <v>326</v>
      </c>
      <c r="D15" s="6" t="s">
        <v>409</v>
      </c>
      <c r="E15" s="6" t="s">
        <v>409</v>
      </c>
      <c r="F15" s="6" t="s">
        <v>409</v>
      </c>
      <c r="G15" s="6" t="s">
        <v>410</v>
      </c>
      <c r="I15" s="63" t="s">
        <v>418</v>
      </c>
      <c r="M15" s="38"/>
    </row>
    <row r="16" spans="2:13" ht="43.2" x14ac:dyDescent="0.3">
      <c r="B16" s="6" t="s">
        <v>329</v>
      </c>
      <c r="C16" s="6" t="s">
        <v>326</v>
      </c>
      <c r="D16" s="6" t="s">
        <v>411</v>
      </c>
      <c r="E16" s="6" t="s">
        <v>411</v>
      </c>
      <c r="F16" s="6" t="s">
        <v>411</v>
      </c>
      <c r="G16" s="6" t="s">
        <v>412</v>
      </c>
      <c r="I16" s="64" t="s">
        <v>419</v>
      </c>
      <c r="J16" s="65"/>
      <c r="K16" s="65"/>
      <c r="L16" s="65"/>
      <c r="M16" s="39"/>
    </row>
  </sheetData>
  <mergeCells count="3">
    <mergeCell ref="B2:F2"/>
    <mergeCell ref="I2:M2"/>
    <mergeCell ref="B12:G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B82C-BA85-45CF-9C26-3B96C3C686BB}">
  <dimension ref="B2:H25"/>
  <sheetViews>
    <sheetView workbookViewId="0">
      <selection activeCell="I25" sqref="I25"/>
    </sheetView>
  </sheetViews>
  <sheetFormatPr defaultRowHeight="14.4" x14ac:dyDescent="0.3"/>
  <cols>
    <col min="2" max="2" width="32.88671875" customWidth="1"/>
    <col min="6" max="6" width="30.33203125" customWidth="1"/>
  </cols>
  <sheetData>
    <row r="2" spans="2:8" x14ac:dyDescent="0.3">
      <c r="B2" s="162" t="s">
        <v>426</v>
      </c>
      <c r="C2" s="162"/>
      <c r="F2" s="161" t="s">
        <v>427</v>
      </c>
      <c r="G2" s="161"/>
      <c r="H2" s="161"/>
    </row>
    <row r="3" spans="2:8" x14ac:dyDescent="0.3">
      <c r="B3" s="2" t="s">
        <v>188</v>
      </c>
    </row>
    <row r="4" spans="2:8" x14ac:dyDescent="0.3">
      <c r="B4" s="5" t="s">
        <v>406</v>
      </c>
      <c r="C4" s="5" t="s">
        <v>10</v>
      </c>
      <c r="F4" s="5" t="s">
        <v>428</v>
      </c>
      <c r="G4" s="5" t="s">
        <v>17</v>
      </c>
      <c r="H4" s="5" t="s">
        <v>429</v>
      </c>
    </row>
    <row r="5" spans="2:8" x14ac:dyDescent="0.3">
      <c r="B5" s="6" t="s">
        <v>420</v>
      </c>
      <c r="C5" s="6">
        <v>9</v>
      </c>
      <c r="F5" s="6" t="s">
        <v>430</v>
      </c>
      <c r="G5" s="6">
        <v>6</v>
      </c>
      <c r="H5" s="6">
        <v>0</v>
      </c>
    </row>
    <row r="6" spans="2:8" x14ac:dyDescent="0.3">
      <c r="B6" s="6" t="s">
        <v>421</v>
      </c>
      <c r="C6" s="6">
        <v>2</v>
      </c>
      <c r="F6" s="6" t="s">
        <v>431</v>
      </c>
      <c r="G6" s="6">
        <v>6</v>
      </c>
      <c r="H6" s="6">
        <v>0</v>
      </c>
    </row>
    <row r="7" spans="2:8" x14ac:dyDescent="0.3">
      <c r="B7" s="6" t="s">
        <v>422</v>
      </c>
      <c r="C7" s="6">
        <v>1</v>
      </c>
      <c r="F7" s="6" t="s">
        <v>432</v>
      </c>
      <c r="G7" s="6">
        <v>6</v>
      </c>
      <c r="H7" s="6">
        <v>0</v>
      </c>
    </row>
    <row r="8" spans="2:8" x14ac:dyDescent="0.3">
      <c r="B8" s="6" t="s">
        <v>423</v>
      </c>
      <c r="C8" s="6">
        <v>1</v>
      </c>
      <c r="F8" s="6" t="s">
        <v>433</v>
      </c>
      <c r="G8" s="6">
        <v>5</v>
      </c>
      <c r="H8" s="6">
        <v>1</v>
      </c>
    </row>
    <row r="9" spans="2:8" x14ac:dyDescent="0.3">
      <c r="B9" s="6" t="s">
        <v>424</v>
      </c>
      <c r="C9" s="6">
        <v>39</v>
      </c>
      <c r="F9" s="6" t="s">
        <v>434</v>
      </c>
      <c r="G9" s="6">
        <v>5</v>
      </c>
      <c r="H9" s="6">
        <v>2</v>
      </c>
    </row>
    <row r="10" spans="2:8" x14ac:dyDescent="0.3">
      <c r="F10" s="6" t="s">
        <v>435</v>
      </c>
      <c r="G10" s="6">
        <v>5</v>
      </c>
      <c r="H10" s="6">
        <v>1</v>
      </c>
    </row>
    <row r="11" spans="2:8" x14ac:dyDescent="0.3">
      <c r="B11" s="5" t="s">
        <v>196</v>
      </c>
      <c r="F11" s="6" t="s">
        <v>436</v>
      </c>
      <c r="G11" s="6">
        <v>5</v>
      </c>
      <c r="H11" s="6">
        <v>2</v>
      </c>
    </row>
    <row r="12" spans="2:8" x14ac:dyDescent="0.3">
      <c r="B12" s="5" t="s">
        <v>406</v>
      </c>
      <c r="C12" s="5" t="s">
        <v>10</v>
      </c>
      <c r="F12" s="6" t="s">
        <v>437</v>
      </c>
      <c r="G12" s="6">
        <v>4</v>
      </c>
      <c r="H12" s="6">
        <v>6</v>
      </c>
    </row>
    <row r="13" spans="2:8" x14ac:dyDescent="0.3">
      <c r="B13" s="6" t="s">
        <v>420</v>
      </c>
      <c r="C13" s="6">
        <v>11</v>
      </c>
    </row>
    <row r="14" spans="2:8" x14ac:dyDescent="0.3">
      <c r="B14" s="6" t="s">
        <v>421</v>
      </c>
      <c r="C14" s="6">
        <v>1</v>
      </c>
    </row>
    <row r="15" spans="2:8" x14ac:dyDescent="0.3">
      <c r="B15" s="6" t="s">
        <v>422</v>
      </c>
      <c r="C15" s="6">
        <v>1</v>
      </c>
      <c r="F15" s="70" t="s">
        <v>438</v>
      </c>
      <c r="G15" s="71"/>
    </row>
    <row r="16" spans="2:8" x14ac:dyDescent="0.3">
      <c r="B16" s="6" t="s">
        <v>423</v>
      </c>
      <c r="C16" s="6">
        <v>1</v>
      </c>
      <c r="F16" s="5" t="s">
        <v>11</v>
      </c>
      <c r="G16" s="5" t="s">
        <v>10</v>
      </c>
    </row>
    <row r="17" spans="2:7" x14ac:dyDescent="0.3">
      <c r="B17" s="6" t="s">
        <v>424</v>
      </c>
      <c r="C17" s="6">
        <v>38</v>
      </c>
      <c r="F17" s="6" t="s">
        <v>439</v>
      </c>
      <c r="G17" s="6">
        <v>34</v>
      </c>
    </row>
    <row r="18" spans="2:7" x14ac:dyDescent="0.3">
      <c r="F18" s="6" t="s">
        <v>440</v>
      </c>
      <c r="G18" s="6">
        <v>12</v>
      </c>
    </row>
    <row r="19" spans="2:7" x14ac:dyDescent="0.3">
      <c r="B19" s="5" t="s">
        <v>190</v>
      </c>
      <c r="F19" s="6" t="s">
        <v>441</v>
      </c>
      <c r="G19" s="6">
        <v>6</v>
      </c>
    </row>
    <row r="20" spans="2:7" x14ac:dyDescent="0.3">
      <c r="B20" s="5" t="s">
        <v>406</v>
      </c>
      <c r="C20" s="5" t="s">
        <v>10</v>
      </c>
    </row>
    <row r="21" spans="2:7" x14ac:dyDescent="0.3">
      <c r="B21" s="6" t="s">
        <v>420</v>
      </c>
      <c r="C21" s="6">
        <v>12</v>
      </c>
    </row>
    <row r="22" spans="2:7" x14ac:dyDescent="0.3">
      <c r="B22" s="6" t="s">
        <v>425</v>
      </c>
      <c r="C22" s="6">
        <v>1</v>
      </c>
    </row>
    <row r="23" spans="2:7" x14ac:dyDescent="0.3">
      <c r="B23" s="6" t="s">
        <v>422</v>
      </c>
      <c r="C23" s="6">
        <v>1</v>
      </c>
    </row>
    <row r="24" spans="2:7" x14ac:dyDescent="0.3">
      <c r="B24" s="6" t="s">
        <v>423</v>
      </c>
      <c r="C24" s="6">
        <v>1</v>
      </c>
    </row>
    <row r="25" spans="2:7" x14ac:dyDescent="0.3">
      <c r="B25" s="6" t="s">
        <v>424</v>
      </c>
      <c r="C25" s="6">
        <v>37</v>
      </c>
    </row>
  </sheetData>
  <mergeCells count="2">
    <mergeCell ref="F2:H2"/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E8B5-0EC7-40A6-9D7D-38B459481058}">
  <dimension ref="B2:M15"/>
  <sheetViews>
    <sheetView workbookViewId="0">
      <selection activeCell="J27" sqref="J27"/>
    </sheetView>
  </sheetViews>
  <sheetFormatPr defaultRowHeight="14.4" x14ac:dyDescent="0.3"/>
  <cols>
    <col min="2" max="2" width="14.21875" customWidth="1"/>
  </cols>
  <sheetData>
    <row r="2" spans="2:13" x14ac:dyDescent="0.3">
      <c r="B2" s="160" t="s">
        <v>280</v>
      </c>
      <c r="C2" s="160"/>
      <c r="D2" s="160"/>
      <c r="E2" s="160"/>
    </row>
    <row r="3" spans="2:13" x14ac:dyDescent="0.3">
      <c r="B3" s="48" t="s">
        <v>275</v>
      </c>
      <c r="C3" s="48" t="s">
        <v>181</v>
      </c>
      <c r="D3" s="48" t="s">
        <v>182</v>
      </c>
      <c r="E3" s="48" t="s">
        <v>183</v>
      </c>
    </row>
    <row r="4" spans="2:13" x14ac:dyDescent="0.3">
      <c r="B4" s="4" t="s">
        <v>276</v>
      </c>
      <c r="C4" s="4"/>
      <c r="D4" s="4"/>
      <c r="E4" s="4"/>
    </row>
    <row r="5" spans="2:13" x14ac:dyDescent="0.3">
      <c r="B5" s="4" t="s">
        <v>277</v>
      </c>
      <c r="C5" s="4"/>
      <c r="D5" s="4"/>
      <c r="E5" s="4"/>
    </row>
    <row r="6" spans="2:13" x14ac:dyDescent="0.3">
      <c r="B6" s="4" t="s">
        <v>278</v>
      </c>
      <c r="C6" s="4"/>
      <c r="D6" s="4"/>
      <c r="E6" s="4"/>
    </row>
    <row r="7" spans="2:13" x14ac:dyDescent="0.3">
      <c r="B7" s="4" t="s">
        <v>279</v>
      </c>
      <c r="C7" s="4"/>
      <c r="D7" s="4"/>
      <c r="E7" s="4"/>
    </row>
    <row r="15" spans="2:13" x14ac:dyDescent="0.3">
      <c r="M15" t="s">
        <v>281</v>
      </c>
    </row>
  </sheetData>
  <mergeCells count="1">
    <mergeCell ref="B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04A0-DFB2-4634-AB05-B9BF02DED150}">
  <dimension ref="A1:C25"/>
  <sheetViews>
    <sheetView workbookViewId="0">
      <selection activeCell="C19" sqref="C19"/>
    </sheetView>
  </sheetViews>
  <sheetFormatPr defaultRowHeight="14.4" x14ac:dyDescent="0.3"/>
  <cols>
    <col min="1" max="1" width="28.21875" bestFit="1" customWidth="1"/>
    <col min="2" max="2" width="16.109375" bestFit="1" customWidth="1"/>
    <col min="3" max="3" width="12.5546875" bestFit="1" customWidth="1"/>
  </cols>
  <sheetData>
    <row r="1" spans="1:3" x14ac:dyDescent="0.3">
      <c r="A1" s="163" t="s">
        <v>456</v>
      </c>
      <c r="B1" s="163"/>
    </row>
    <row r="2" spans="1:3" s="3" customFormat="1" x14ac:dyDescent="0.3">
      <c r="A2" s="74" t="s">
        <v>0</v>
      </c>
      <c r="B2" s="75" t="s">
        <v>1</v>
      </c>
    </row>
    <row r="3" spans="1:3" x14ac:dyDescent="0.3">
      <c r="A3" s="63" t="s">
        <v>2</v>
      </c>
      <c r="B3" s="76">
        <v>18</v>
      </c>
    </row>
    <row r="4" spans="1:3" x14ac:dyDescent="0.3">
      <c r="A4" s="63" t="s">
        <v>4</v>
      </c>
      <c r="B4" s="76">
        <v>10</v>
      </c>
    </row>
    <row r="5" spans="1:3" x14ac:dyDescent="0.3">
      <c r="A5" s="63" t="s">
        <v>5</v>
      </c>
      <c r="B5" s="76">
        <v>5</v>
      </c>
    </row>
    <row r="6" spans="1:3" x14ac:dyDescent="0.3">
      <c r="A6" s="63" t="s">
        <v>6</v>
      </c>
      <c r="B6" s="76">
        <v>4</v>
      </c>
    </row>
    <row r="7" spans="1:3" x14ac:dyDescent="0.3">
      <c r="A7" s="63" t="s">
        <v>7</v>
      </c>
      <c r="B7" s="76">
        <v>55.56</v>
      </c>
    </row>
    <row r="8" spans="1:3" x14ac:dyDescent="0.3">
      <c r="A8" s="63" t="s">
        <v>8</v>
      </c>
      <c r="B8" s="76" t="s">
        <v>3</v>
      </c>
    </row>
    <row r="9" spans="1:3" x14ac:dyDescent="0.3">
      <c r="A9" s="64" t="s">
        <v>9</v>
      </c>
      <c r="B9" s="77" t="s">
        <v>3</v>
      </c>
    </row>
    <row r="10" spans="1:3" x14ac:dyDescent="0.3">
      <c r="B10" s="1"/>
    </row>
    <row r="12" spans="1:3" x14ac:dyDescent="0.3">
      <c r="A12" s="164" t="s">
        <v>457</v>
      </c>
      <c r="B12" s="164"/>
    </row>
    <row r="13" spans="1:3" x14ac:dyDescent="0.3">
      <c r="A13" s="74" t="s">
        <v>11</v>
      </c>
      <c r="B13" s="75" t="s">
        <v>10</v>
      </c>
      <c r="C13" s="2"/>
    </row>
    <row r="14" spans="1:3" x14ac:dyDescent="0.3">
      <c r="A14" s="63" t="s">
        <v>17</v>
      </c>
      <c r="B14" s="38">
        <v>10</v>
      </c>
    </row>
    <row r="15" spans="1:3" x14ac:dyDescent="0.3">
      <c r="A15" s="63" t="s">
        <v>15</v>
      </c>
      <c r="B15" s="38">
        <v>5</v>
      </c>
    </row>
    <row r="16" spans="1:3" x14ac:dyDescent="0.3">
      <c r="A16" s="64" t="s">
        <v>18</v>
      </c>
      <c r="B16" s="39">
        <v>4</v>
      </c>
    </row>
    <row r="21" spans="1:3" x14ac:dyDescent="0.3">
      <c r="A21" s="165" t="s">
        <v>458</v>
      </c>
      <c r="B21" s="165"/>
      <c r="C21" s="165"/>
    </row>
    <row r="22" spans="1:3" x14ac:dyDescent="0.3">
      <c r="A22" s="2" t="s">
        <v>12</v>
      </c>
      <c r="B22" s="2" t="s">
        <v>13</v>
      </c>
      <c r="C22" s="2" t="s">
        <v>14</v>
      </c>
    </row>
    <row r="23" spans="1:3" x14ac:dyDescent="0.3">
      <c r="A23" t="s">
        <v>3</v>
      </c>
      <c r="B23">
        <v>10</v>
      </c>
      <c r="C23">
        <v>10</v>
      </c>
    </row>
    <row r="24" spans="1:3" x14ac:dyDescent="0.3">
      <c r="A24" t="s">
        <v>15</v>
      </c>
      <c r="B24">
        <v>5</v>
      </c>
      <c r="C24">
        <v>5</v>
      </c>
    </row>
    <row r="25" spans="1:3" x14ac:dyDescent="0.3">
      <c r="A25" t="s">
        <v>16</v>
      </c>
      <c r="B25">
        <v>4</v>
      </c>
      <c r="C25">
        <v>4</v>
      </c>
    </row>
  </sheetData>
  <mergeCells count="3">
    <mergeCell ref="A1:B1"/>
    <mergeCell ref="A12:B12"/>
    <mergeCell ref="A21:C2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06B0-EFD2-4117-8673-74B6C71B5DCC}">
  <dimension ref="A1:S26"/>
  <sheetViews>
    <sheetView topLeftCell="L1" workbookViewId="0">
      <selection activeCell="T13" sqref="T13"/>
    </sheetView>
  </sheetViews>
  <sheetFormatPr defaultRowHeight="14.4" x14ac:dyDescent="0.3"/>
  <cols>
    <col min="1" max="1" width="9.44140625" bestFit="1" customWidth="1"/>
    <col min="2" max="2" width="10.5546875" bestFit="1" customWidth="1"/>
    <col min="3" max="3" width="47.88671875" bestFit="1" customWidth="1"/>
    <col min="4" max="4" width="14.88671875" bestFit="1" customWidth="1"/>
    <col min="5" max="5" width="12.44140625" bestFit="1" customWidth="1"/>
    <col min="6" max="6" width="17.21875" bestFit="1" customWidth="1"/>
    <col min="7" max="7" width="52.5546875" bestFit="1" customWidth="1"/>
    <col min="8" max="8" width="54.77734375" bestFit="1" customWidth="1"/>
    <col min="9" max="10" width="80.88671875" bestFit="1" customWidth="1"/>
    <col min="11" max="11" width="19" bestFit="1" customWidth="1"/>
    <col min="12" max="12" width="22.109375" bestFit="1" customWidth="1"/>
    <col min="13" max="13" width="39.77734375" bestFit="1" customWidth="1"/>
    <col min="14" max="14" width="22.44140625" bestFit="1" customWidth="1"/>
    <col min="15" max="15" width="28" bestFit="1" customWidth="1"/>
    <col min="16" max="16" width="20.109375" bestFit="1" customWidth="1"/>
    <col min="17" max="17" width="21.109375" bestFit="1" customWidth="1"/>
    <col min="18" max="18" width="23.44140625" bestFit="1" customWidth="1"/>
    <col min="19" max="19" width="8.109375" bestFit="1" customWidth="1"/>
  </cols>
  <sheetData>
    <row r="1" spans="1:19" x14ac:dyDescent="0.3">
      <c r="A1" t="s">
        <v>442</v>
      </c>
      <c r="B1" t="s">
        <v>11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459</v>
      </c>
      <c r="J1" t="s">
        <v>460</v>
      </c>
      <c r="K1" t="s">
        <v>449</v>
      </c>
      <c r="L1" t="s">
        <v>450</v>
      </c>
      <c r="M1" t="s">
        <v>153</v>
      </c>
      <c r="N1" t="s">
        <v>451</v>
      </c>
      <c r="O1" t="s">
        <v>452</v>
      </c>
      <c r="P1" t="s">
        <v>453</v>
      </c>
      <c r="Q1" t="s">
        <v>461</v>
      </c>
      <c r="R1" t="s">
        <v>454</v>
      </c>
      <c r="S1" t="s">
        <v>455</v>
      </c>
    </row>
    <row r="2" spans="1:19" x14ac:dyDescent="0.3">
      <c r="A2" t="s">
        <v>462</v>
      </c>
      <c r="B2" t="s">
        <v>463</v>
      </c>
      <c r="C2" t="s">
        <v>464</v>
      </c>
      <c r="D2" t="s">
        <v>465</v>
      </c>
      <c r="E2" t="s">
        <v>466</v>
      </c>
      <c r="F2" t="s">
        <v>18</v>
      </c>
      <c r="G2" t="s">
        <v>467</v>
      </c>
      <c r="H2" t="s">
        <v>468</v>
      </c>
      <c r="I2" t="s">
        <v>469</v>
      </c>
      <c r="J2" t="s">
        <v>470</v>
      </c>
      <c r="K2" t="s">
        <v>467</v>
      </c>
      <c r="L2" t="s">
        <v>15</v>
      </c>
      <c r="M2" t="s">
        <v>471</v>
      </c>
      <c r="N2" t="s">
        <v>16</v>
      </c>
      <c r="O2" t="s">
        <v>3</v>
      </c>
      <c r="P2" t="s">
        <v>3</v>
      </c>
      <c r="Q2">
        <v>4368</v>
      </c>
      <c r="R2" t="s">
        <v>597</v>
      </c>
      <c r="S2" t="s">
        <v>467</v>
      </c>
    </row>
    <row r="3" spans="1:19" x14ac:dyDescent="0.3">
      <c r="A3" t="s">
        <v>472</v>
      </c>
      <c r="B3" t="s">
        <v>463</v>
      </c>
      <c r="C3" t="s">
        <v>473</v>
      </c>
      <c r="D3" t="s">
        <v>465</v>
      </c>
      <c r="E3" t="s">
        <v>466</v>
      </c>
      <c r="F3" t="s">
        <v>18</v>
      </c>
      <c r="G3" t="s">
        <v>467</v>
      </c>
      <c r="H3" t="s">
        <v>468</v>
      </c>
      <c r="I3" t="s">
        <v>469</v>
      </c>
      <c r="J3" t="s">
        <v>470</v>
      </c>
      <c r="K3" t="s">
        <v>467</v>
      </c>
      <c r="L3" t="s">
        <v>15</v>
      </c>
      <c r="M3" t="s">
        <v>474</v>
      </c>
      <c r="N3" t="s">
        <v>16</v>
      </c>
      <c r="O3" t="s">
        <v>3</v>
      </c>
      <c r="P3" t="s">
        <v>3</v>
      </c>
      <c r="Q3">
        <v>138</v>
      </c>
      <c r="R3" t="s">
        <v>598</v>
      </c>
      <c r="S3" t="s">
        <v>467</v>
      </c>
    </row>
    <row r="4" spans="1:19" x14ac:dyDescent="0.3">
      <c r="A4" t="s">
        <v>475</v>
      </c>
      <c r="B4" t="s">
        <v>463</v>
      </c>
      <c r="C4" t="s">
        <v>476</v>
      </c>
      <c r="D4" t="s">
        <v>465</v>
      </c>
      <c r="E4" t="s">
        <v>465</v>
      </c>
      <c r="F4" t="s">
        <v>17</v>
      </c>
      <c r="G4" t="s">
        <v>467</v>
      </c>
      <c r="H4" t="s">
        <v>467</v>
      </c>
      <c r="I4" t="s">
        <v>477</v>
      </c>
      <c r="J4" t="s">
        <v>478</v>
      </c>
      <c r="K4" t="s">
        <v>467</v>
      </c>
      <c r="L4" t="s">
        <v>3</v>
      </c>
      <c r="M4" t="s">
        <v>479</v>
      </c>
      <c r="N4" t="s">
        <v>16</v>
      </c>
      <c r="O4" t="s">
        <v>3</v>
      </c>
      <c r="P4" t="s">
        <v>3</v>
      </c>
      <c r="Q4">
        <v>128</v>
      </c>
      <c r="S4" t="s">
        <v>467</v>
      </c>
    </row>
    <row r="5" spans="1:19" x14ac:dyDescent="0.3">
      <c r="A5" t="s">
        <v>480</v>
      </c>
      <c r="B5" t="s">
        <v>463</v>
      </c>
      <c r="C5" t="s">
        <v>481</v>
      </c>
      <c r="D5" t="s">
        <v>465</v>
      </c>
      <c r="E5" t="s">
        <v>466</v>
      </c>
      <c r="F5" t="s">
        <v>18</v>
      </c>
      <c r="G5" t="s">
        <v>467</v>
      </c>
      <c r="H5" t="s">
        <v>482</v>
      </c>
      <c r="I5" t="s">
        <v>483</v>
      </c>
      <c r="J5" t="s">
        <v>484</v>
      </c>
      <c r="K5" t="s">
        <v>467</v>
      </c>
      <c r="L5" t="s">
        <v>15</v>
      </c>
      <c r="M5" t="s">
        <v>485</v>
      </c>
      <c r="N5" t="s">
        <v>16</v>
      </c>
      <c r="O5" t="s">
        <v>3</v>
      </c>
      <c r="P5" t="s">
        <v>3</v>
      </c>
      <c r="Q5">
        <v>113</v>
      </c>
      <c r="R5" t="s">
        <v>599</v>
      </c>
      <c r="S5" t="s">
        <v>467</v>
      </c>
    </row>
    <row r="6" spans="1:19" x14ac:dyDescent="0.3">
      <c r="A6" t="s">
        <v>486</v>
      </c>
      <c r="B6" t="s">
        <v>463</v>
      </c>
      <c r="C6" t="s">
        <v>487</v>
      </c>
      <c r="D6" t="s">
        <v>465</v>
      </c>
      <c r="E6" t="s">
        <v>465</v>
      </c>
      <c r="F6" t="s">
        <v>17</v>
      </c>
      <c r="G6" t="s">
        <v>467</v>
      </c>
      <c r="H6" t="s">
        <v>467</v>
      </c>
      <c r="I6" t="s">
        <v>477</v>
      </c>
      <c r="J6" t="s">
        <v>478</v>
      </c>
      <c r="K6" t="s">
        <v>467</v>
      </c>
      <c r="L6" t="s">
        <v>3</v>
      </c>
      <c r="M6" t="s">
        <v>488</v>
      </c>
      <c r="N6" t="s">
        <v>16</v>
      </c>
      <c r="O6" t="s">
        <v>3</v>
      </c>
      <c r="P6" t="s">
        <v>3</v>
      </c>
      <c r="Q6">
        <v>146</v>
      </c>
      <c r="R6" t="s">
        <v>467</v>
      </c>
      <c r="S6" t="s">
        <v>467</v>
      </c>
    </row>
    <row r="7" spans="1:19" x14ac:dyDescent="0.3">
      <c r="A7" t="s">
        <v>489</v>
      </c>
      <c r="B7" t="s">
        <v>490</v>
      </c>
      <c r="C7" t="s">
        <v>491</v>
      </c>
      <c r="D7" t="s">
        <v>466</v>
      </c>
      <c r="E7" t="s">
        <v>466</v>
      </c>
      <c r="F7" t="s">
        <v>17</v>
      </c>
      <c r="G7" t="s">
        <v>492</v>
      </c>
      <c r="H7" t="s">
        <v>492</v>
      </c>
      <c r="I7" t="s">
        <v>493</v>
      </c>
      <c r="J7" t="s">
        <v>494</v>
      </c>
      <c r="K7" t="s">
        <v>467</v>
      </c>
      <c r="L7" t="s">
        <v>3</v>
      </c>
      <c r="M7" t="s">
        <v>495</v>
      </c>
      <c r="N7" t="s">
        <v>3</v>
      </c>
      <c r="O7" t="s">
        <v>3</v>
      </c>
      <c r="P7" t="s">
        <v>3</v>
      </c>
      <c r="Q7">
        <v>131</v>
      </c>
      <c r="S7" t="s">
        <v>467</v>
      </c>
    </row>
    <row r="8" spans="1:19" x14ac:dyDescent="0.3">
      <c r="A8" t="s">
        <v>496</v>
      </c>
      <c r="B8" t="s">
        <v>490</v>
      </c>
      <c r="C8" t="s">
        <v>497</v>
      </c>
      <c r="D8" t="s">
        <v>466</v>
      </c>
      <c r="E8" t="s">
        <v>498</v>
      </c>
      <c r="F8" t="s">
        <v>18</v>
      </c>
      <c r="G8" t="s">
        <v>499</v>
      </c>
      <c r="H8" t="s">
        <v>500</v>
      </c>
      <c r="I8" t="s">
        <v>501</v>
      </c>
      <c r="J8" t="s">
        <v>502</v>
      </c>
      <c r="K8" t="s">
        <v>467</v>
      </c>
      <c r="L8" t="s">
        <v>15</v>
      </c>
      <c r="M8" t="s">
        <v>503</v>
      </c>
      <c r="N8" t="s">
        <v>3</v>
      </c>
      <c r="O8" t="s">
        <v>3</v>
      </c>
      <c r="P8" t="s">
        <v>3</v>
      </c>
      <c r="Q8">
        <v>106</v>
      </c>
      <c r="R8" t="s">
        <v>600</v>
      </c>
      <c r="S8" t="s">
        <v>467</v>
      </c>
    </row>
    <row r="9" spans="1:19" x14ac:dyDescent="0.3">
      <c r="A9" t="s">
        <v>504</v>
      </c>
      <c r="B9" t="s">
        <v>490</v>
      </c>
      <c r="C9" t="s">
        <v>505</v>
      </c>
      <c r="D9" t="s">
        <v>466</v>
      </c>
      <c r="E9" t="s">
        <v>466</v>
      </c>
      <c r="F9" t="s">
        <v>17</v>
      </c>
      <c r="G9" t="s">
        <v>506</v>
      </c>
      <c r="H9" t="s">
        <v>507</v>
      </c>
      <c r="I9" t="s">
        <v>508</v>
      </c>
      <c r="J9" t="s">
        <v>509</v>
      </c>
      <c r="K9" t="s">
        <v>467</v>
      </c>
      <c r="L9" t="s">
        <v>15</v>
      </c>
      <c r="M9" t="s">
        <v>510</v>
      </c>
      <c r="N9" t="s">
        <v>3</v>
      </c>
      <c r="O9" t="s">
        <v>3</v>
      </c>
      <c r="P9" t="s">
        <v>3</v>
      </c>
      <c r="Q9">
        <v>99</v>
      </c>
      <c r="R9" t="s">
        <v>601</v>
      </c>
      <c r="S9" t="s">
        <v>467</v>
      </c>
    </row>
    <row r="10" spans="1:19" x14ac:dyDescent="0.3">
      <c r="A10" t="s">
        <v>511</v>
      </c>
      <c r="B10" t="s">
        <v>490</v>
      </c>
      <c r="C10" t="s">
        <v>512</v>
      </c>
      <c r="D10" t="s">
        <v>466</v>
      </c>
      <c r="E10" t="s">
        <v>466</v>
      </c>
      <c r="F10" t="s">
        <v>17</v>
      </c>
      <c r="G10" t="s">
        <v>513</v>
      </c>
      <c r="H10" t="s">
        <v>514</v>
      </c>
      <c r="I10" t="s">
        <v>515</v>
      </c>
      <c r="J10" t="s">
        <v>516</v>
      </c>
      <c r="K10" t="s">
        <v>467</v>
      </c>
      <c r="L10" t="s">
        <v>15</v>
      </c>
      <c r="M10" t="s">
        <v>517</v>
      </c>
      <c r="N10" t="s">
        <v>16</v>
      </c>
      <c r="O10" t="s">
        <v>3</v>
      </c>
      <c r="P10" t="s">
        <v>3</v>
      </c>
      <c r="Q10">
        <v>116</v>
      </c>
      <c r="R10" t="s">
        <v>602</v>
      </c>
      <c r="S10" t="s">
        <v>467</v>
      </c>
    </row>
    <row r="11" spans="1:19" x14ac:dyDescent="0.3">
      <c r="A11" t="s">
        <v>518</v>
      </c>
      <c r="B11" t="s">
        <v>490</v>
      </c>
      <c r="C11" t="s">
        <v>519</v>
      </c>
      <c r="D11" t="s">
        <v>466</v>
      </c>
      <c r="E11" t="s">
        <v>466</v>
      </c>
      <c r="F11" t="s">
        <v>17</v>
      </c>
      <c r="G11" t="s">
        <v>492</v>
      </c>
      <c r="H11" t="s">
        <v>492</v>
      </c>
      <c r="I11" t="s">
        <v>493</v>
      </c>
      <c r="J11" t="s">
        <v>494</v>
      </c>
      <c r="K11" t="s">
        <v>467</v>
      </c>
      <c r="L11" t="s">
        <v>3</v>
      </c>
      <c r="M11" t="s">
        <v>520</v>
      </c>
      <c r="N11" t="s">
        <v>3</v>
      </c>
      <c r="O11" t="s">
        <v>3</v>
      </c>
      <c r="P11" t="s">
        <v>3</v>
      </c>
      <c r="Q11">
        <v>104</v>
      </c>
      <c r="R11" t="s">
        <v>467</v>
      </c>
      <c r="S11" t="s">
        <v>467</v>
      </c>
    </row>
    <row r="12" spans="1:19" x14ac:dyDescent="0.3">
      <c r="A12" t="s">
        <v>521</v>
      </c>
      <c r="B12" t="s">
        <v>522</v>
      </c>
      <c r="C12" t="s">
        <v>523</v>
      </c>
      <c r="D12" t="s">
        <v>466</v>
      </c>
      <c r="E12" t="s">
        <v>498</v>
      </c>
      <c r="F12" t="s">
        <v>17</v>
      </c>
      <c r="G12" t="s">
        <v>524</v>
      </c>
      <c r="H12" t="s">
        <v>524</v>
      </c>
      <c r="I12" t="s">
        <v>525</v>
      </c>
      <c r="J12" t="s">
        <v>526</v>
      </c>
      <c r="K12" t="s">
        <v>467</v>
      </c>
      <c r="L12" t="s">
        <v>3</v>
      </c>
      <c r="M12" t="s">
        <v>527</v>
      </c>
      <c r="N12" t="s">
        <v>3</v>
      </c>
      <c r="O12" t="s">
        <v>3</v>
      </c>
      <c r="P12" t="s">
        <v>3</v>
      </c>
      <c r="Q12">
        <v>108</v>
      </c>
      <c r="R12" t="s">
        <v>467</v>
      </c>
      <c r="S12" t="s">
        <v>467</v>
      </c>
    </row>
    <row r="13" spans="1:19" x14ac:dyDescent="0.3">
      <c r="A13" t="s">
        <v>528</v>
      </c>
      <c r="B13" t="s">
        <v>522</v>
      </c>
      <c r="C13" t="s">
        <v>529</v>
      </c>
      <c r="D13" t="s">
        <v>466</v>
      </c>
      <c r="E13" t="s">
        <v>466</v>
      </c>
      <c r="F13" t="s">
        <v>17</v>
      </c>
      <c r="G13" t="s">
        <v>482</v>
      </c>
      <c r="H13" t="s">
        <v>482</v>
      </c>
      <c r="I13" t="s">
        <v>483</v>
      </c>
      <c r="J13" t="s">
        <v>484</v>
      </c>
      <c r="K13" t="s">
        <v>467</v>
      </c>
      <c r="L13" t="s">
        <v>3</v>
      </c>
      <c r="M13" t="s">
        <v>530</v>
      </c>
      <c r="N13" t="s">
        <v>3</v>
      </c>
      <c r="O13" t="s">
        <v>3</v>
      </c>
      <c r="P13" t="s">
        <v>3</v>
      </c>
      <c r="Q13">
        <v>96</v>
      </c>
      <c r="R13" t="s">
        <v>467</v>
      </c>
      <c r="S13" t="s">
        <v>467</v>
      </c>
    </row>
    <row r="14" spans="1:19" x14ac:dyDescent="0.3">
      <c r="A14" t="s">
        <v>531</v>
      </c>
      <c r="B14" t="s">
        <v>522</v>
      </c>
      <c r="C14" t="s">
        <v>532</v>
      </c>
      <c r="D14" t="s">
        <v>466</v>
      </c>
      <c r="E14" t="s">
        <v>466</v>
      </c>
      <c r="F14" t="s">
        <v>17</v>
      </c>
      <c r="G14" t="s">
        <v>533</v>
      </c>
      <c r="H14" t="s">
        <v>534</v>
      </c>
      <c r="I14" t="s">
        <v>535</v>
      </c>
      <c r="J14" t="s">
        <v>536</v>
      </c>
      <c r="K14" t="s">
        <v>467</v>
      </c>
      <c r="L14" t="s">
        <v>15</v>
      </c>
      <c r="M14" t="s">
        <v>537</v>
      </c>
      <c r="N14" t="s">
        <v>16</v>
      </c>
      <c r="O14" t="s">
        <v>3</v>
      </c>
      <c r="P14" t="s">
        <v>3</v>
      </c>
      <c r="Q14">
        <v>117</v>
      </c>
      <c r="R14" t="s">
        <v>603</v>
      </c>
      <c r="S14" t="s">
        <v>467</v>
      </c>
    </row>
    <row r="15" spans="1:19" x14ac:dyDescent="0.3">
      <c r="A15" t="s">
        <v>538</v>
      </c>
      <c r="B15" t="s">
        <v>522</v>
      </c>
      <c r="C15" t="s">
        <v>539</v>
      </c>
      <c r="D15" t="s">
        <v>466</v>
      </c>
      <c r="E15" t="s">
        <v>498</v>
      </c>
      <c r="F15" t="s">
        <v>17</v>
      </c>
      <c r="G15" t="s">
        <v>468</v>
      </c>
      <c r="H15" t="s">
        <v>540</v>
      </c>
      <c r="I15" t="s">
        <v>541</v>
      </c>
      <c r="J15" t="s">
        <v>542</v>
      </c>
      <c r="K15" t="s">
        <v>467</v>
      </c>
      <c r="L15" t="s">
        <v>3</v>
      </c>
      <c r="M15" t="s">
        <v>543</v>
      </c>
      <c r="N15" t="s">
        <v>3</v>
      </c>
      <c r="O15" t="s">
        <v>3</v>
      </c>
      <c r="P15" t="s">
        <v>3</v>
      </c>
      <c r="Q15">
        <v>105</v>
      </c>
      <c r="R15" t="s">
        <v>467</v>
      </c>
      <c r="S15" t="s">
        <v>467</v>
      </c>
    </row>
    <row r="16" spans="1:19" x14ac:dyDescent="0.3">
      <c r="A16" t="s">
        <v>544</v>
      </c>
      <c r="B16" t="s">
        <v>522</v>
      </c>
      <c r="C16" t="s">
        <v>545</v>
      </c>
      <c r="D16" t="s">
        <v>466</v>
      </c>
      <c r="E16" t="s">
        <v>465</v>
      </c>
      <c r="F16" t="s">
        <v>18</v>
      </c>
      <c r="G16" t="s">
        <v>546</v>
      </c>
      <c r="H16" t="s">
        <v>546</v>
      </c>
      <c r="I16" t="s">
        <v>547</v>
      </c>
      <c r="J16" t="s">
        <v>478</v>
      </c>
      <c r="K16" t="s">
        <v>467</v>
      </c>
      <c r="L16" t="s">
        <v>16</v>
      </c>
      <c r="M16" t="s">
        <v>548</v>
      </c>
      <c r="N16" t="s">
        <v>15</v>
      </c>
      <c r="O16" t="s">
        <v>3</v>
      </c>
      <c r="P16" t="s">
        <v>3</v>
      </c>
      <c r="Q16">
        <v>116</v>
      </c>
      <c r="R16" t="s">
        <v>604</v>
      </c>
      <c r="S16" t="s">
        <v>467</v>
      </c>
    </row>
    <row r="17" spans="1:19" x14ac:dyDescent="0.3">
      <c r="A17" t="s">
        <v>549</v>
      </c>
      <c r="B17" t="s">
        <v>550</v>
      </c>
      <c r="C17" t="s">
        <v>551</v>
      </c>
      <c r="D17" t="s">
        <v>466</v>
      </c>
      <c r="E17" t="s">
        <v>498</v>
      </c>
      <c r="F17" t="s">
        <v>17</v>
      </c>
      <c r="G17" t="s">
        <v>552</v>
      </c>
      <c r="H17" t="s">
        <v>552</v>
      </c>
      <c r="I17" t="s">
        <v>553</v>
      </c>
      <c r="J17" t="s">
        <v>554</v>
      </c>
      <c r="K17" t="s">
        <v>467</v>
      </c>
      <c r="L17" t="s">
        <v>3</v>
      </c>
      <c r="M17" t="s">
        <v>555</v>
      </c>
      <c r="N17" t="s">
        <v>3</v>
      </c>
      <c r="O17" t="s">
        <v>3</v>
      </c>
      <c r="P17" t="s">
        <v>3</v>
      </c>
      <c r="Q17">
        <v>122</v>
      </c>
      <c r="R17" t="s">
        <v>467</v>
      </c>
      <c r="S17" t="s">
        <v>467</v>
      </c>
    </row>
    <row r="18" spans="1:19" x14ac:dyDescent="0.3">
      <c r="A18" t="s">
        <v>556</v>
      </c>
      <c r="B18" t="s">
        <v>550</v>
      </c>
      <c r="C18" t="s">
        <v>557</v>
      </c>
      <c r="D18" t="s">
        <v>466</v>
      </c>
      <c r="E18" t="s">
        <v>466</v>
      </c>
      <c r="F18" t="s">
        <v>17</v>
      </c>
      <c r="G18" t="s">
        <v>558</v>
      </c>
      <c r="H18" t="s">
        <v>559</v>
      </c>
      <c r="I18" t="s">
        <v>560</v>
      </c>
      <c r="J18" t="s">
        <v>561</v>
      </c>
      <c r="K18" t="s">
        <v>467</v>
      </c>
      <c r="L18" t="s">
        <v>15</v>
      </c>
      <c r="M18" t="s">
        <v>562</v>
      </c>
      <c r="N18" t="s">
        <v>15</v>
      </c>
      <c r="O18" t="s">
        <v>3</v>
      </c>
      <c r="P18" t="s">
        <v>3</v>
      </c>
      <c r="Q18">
        <v>126</v>
      </c>
      <c r="R18" t="s">
        <v>605</v>
      </c>
      <c r="S18" t="s">
        <v>467</v>
      </c>
    </row>
    <row r="19" spans="1:19" x14ac:dyDescent="0.3">
      <c r="A19" t="s">
        <v>563</v>
      </c>
      <c r="B19" t="s">
        <v>550</v>
      </c>
      <c r="C19" t="s">
        <v>564</v>
      </c>
      <c r="D19" t="s">
        <v>466</v>
      </c>
      <c r="E19" t="s">
        <v>466</v>
      </c>
      <c r="F19" t="s">
        <v>17</v>
      </c>
      <c r="G19" t="s">
        <v>565</v>
      </c>
      <c r="H19" t="s">
        <v>482</v>
      </c>
      <c r="I19" t="s">
        <v>483</v>
      </c>
      <c r="J19" t="s">
        <v>484</v>
      </c>
      <c r="K19" t="s">
        <v>467</v>
      </c>
      <c r="L19" t="s">
        <v>15</v>
      </c>
      <c r="M19" t="s">
        <v>566</v>
      </c>
      <c r="N19" t="s">
        <v>15</v>
      </c>
      <c r="O19" t="s">
        <v>3</v>
      </c>
      <c r="P19" t="s">
        <v>3</v>
      </c>
      <c r="Q19">
        <v>117</v>
      </c>
      <c r="R19" t="s">
        <v>606</v>
      </c>
      <c r="S19" t="s">
        <v>467</v>
      </c>
    </row>
    <row r="20" spans="1:19" x14ac:dyDescent="0.3">
      <c r="A20" t="s">
        <v>567</v>
      </c>
      <c r="B20" t="s">
        <v>550</v>
      </c>
      <c r="C20" t="s">
        <v>568</v>
      </c>
      <c r="D20" t="s">
        <v>466</v>
      </c>
      <c r="E20" t="s">
        <v>498</v>
      </c>
      <c r="F20" t="s">
        <v>17</v>
      </c>
      <c r="G20" t="s">
        <v>569</v>
      </c>
      <c r="H20" t="s">
        <v>569</v>
      </c>
      <c r="I20" t="s">
        <v>570</v>
      </c>
      <c r="J20" t="s">
        <v>571</v>
      </c>
      <c r="K20" t="s">
        <v>467</v>
      </c>
      <c r="L20" t="s">
        <v>3</v>
      </c>
      <c r="M20" t="s">
        <v>572</v>
      </c>
      <c r="N20" t="s">
        <v>3</v>
      </c>
      <c r="O20" t="s">
        <v>3</v>
      </c>
      <c r="P20" t="s">
        <v>3</v>
      </c>
      <c r="Q20">
        <v>130</v>
      </c>
      <c r="R20" t="s">
        <v>467</v>
      </c>
      <c r="S20" t="s">
        <v>467</v>
      </c>
    </row>
    <row r="21" spans="1:19" x14ac:dyDescent="0.3">
      <c r="A21" t="s">
        <v>573</v>
      </c>
      <c r="B21" t="s">
        <v>550</v>
      </c>
      <c r="C21" t="s">
        <v>574</v>
      </c>
      <c r="D21" t="s">
        <v>466</v>
      </c>
      <c r="E21" t="s">
        <v>466</v>
      </c>
      <c r="F21" t="s">
        <v>17</v>
      </c>
      <c r="G21" t="s">
        <v>575</v>
      </c>
      <c r="H21" t="s">
        <v>468</v>
      </c>
      <c r="I21" t="s">
        <v>469</v>
      </c>
      <c r="J21" t="s">
        <v>470</v>
      </c>
      <c r="K21" t="s">
        <v>467</v>
      </c>
      <c r="L21" t="s">
        <v>15</v>
      </c>
      <c r="M21" t="s">
        <v>576</v>
      </c>
      <c r="N21" t="s">
        <v>15</v>
      </c>
      <c r="O21" t="s">
        <v>3</v>
      </c>
      <c r="P21" t="s">
        <v>3</v>
      </c>
      <c r="Q21">
        <v>123</v>
      </c>
      <c r="R21" t="s">
        <v>607</v>
      </c>
      <c r="S21" t="s">
        <v>467</v>
      </c>
    </row>
    <row r="22" spans="1:19" x14ac:dyDescent="0.3">
      <c r="A22" t="s">
        <v>577</v>
      </c>
      <c r="B22" t="s">
        <v>350</v>
      </c>
      <c r="C22" t="s">
        <v>578</v>
      </c>
      <c r="D22" t="s">
        <v>466</v>
      </c>
      <c r="E22" t="s">
        <v>465</v>
      </c>
      <c r="F22" t="s">
        <v>18</v>
      </c>
      <c r="G22" t="s">
        <v>579</v>
      </c>
      <c r="H22" t="s">
        <v>546</v>
      </c>
      <c r="I22" t="s">
        <v>547</v>
      </c>
      <c r="J22" t="s">
        <v>478</v>
      </c>
      <c r="K22" t="s">
        <v>467</v>
      </c>
      <c r="L22" t="s">
        <v>15</v>
      </c>
      <c r="M22" t="s">
        <v>580</v>
      </c>
      <c r="N22" t="s">
        <v>15</v>
      </c>
      <c r="O22" t="s">
        <v>3</v>
      </c>
      <c r="P22" t="s">
        <v>3</v>
      </c>
      <c r="Q22">
        <v>140</v>
      </c>
      <c r="R22" t="s">
        <v>608</v>
      </c>
      <c r="S22" t="s">
        <v>467</v>
      </c>
    </row>
    <row r="23" spans="1:19" x14ac:dyDescent="0.3">
      <c r="A23" t="s">
        <v>581</v>
      </c>
      <c r="B23" t="s">
        <v>350</v>
      </c>
      <c r="C23" t="s">
        <v>582</v>
      </c>
      <c r="D23" t="s">
        <v>465</v>
      </c>
      <c r="E23" t="s">
        <v>465</v>
      </c>
      <c r="F23" t="s">
        <v>17</v>
      </c>
      <c r="G23" t="s">
        <v>467</v>
      </c>
      <c r="H23" t="s">
        <v>534</v>
      </c>
      <c r="I23" t="s">
        <v>583</v>
      </c>
      <c r="J23" t="s">
        <v>478</v>
      </c>
      <c r="K23" t="s">
        <v>467</v>
      </c>
      <c r="L23" t="s">
        <v>15</v>
      </c>
      <c r="M23" t="s">
        <v>584</v>
      </c>
      <c r="N23" t="s">
        <v>16</v>
      </c>
      <c r="O23" t="s">
        <v>3</v>
      </c>
      <c r="P23" t="s">
        <v>3</v>
      </c>
      <c r="Q23">
        <v>99</v>
      </c>
      <c r="R23" t="s">
        <v>609</v>
      </c>
      <c r="S23" t="s">
        <v>467</v>
      </c>
    </row>
    <row r="24" spans="1:19" x14ac:dyDescent="0.3">
      <c r="A24" t="s">
        <v>585</v>
      </c>
      <c r="B24" t="s">
        <v>350</v>
      </c>
      <c r="C24" t="s">
        <v>586</v>
      </c>
      <c r="D24" t="s">
        <v>465</v>
      </c>
      <c r="E24" t="s">
        <v>465</v>
      </c>
      <c r="F24" t="s">
        <v>17</v>
      </c>
      <c r="G24" t="s">
        <v>467</v>
      </c>
      <c r="H24" t="s">
        <v>587</v>
      </c>
      <c r="I24" t="s">
        <v>588</v>
      </c>
      <c r="J24" t="s">
        <v>478</v>
      </c>
      <c r="K24" t="s">
        <v>467</v>
      </c>
      <c r="L24" t="s">
        <v>15</v>
      </c>
      <c r="M24" t="s">
        <v>589</v>
      </c>
      <c r="N24" t="s">
        <v>16</v>
      </c>
      <c r="O24" t="s">
        <v>3</v>
      </c>
      <c r="P24" t="s">
        <v>3</v>
      </c>
      <c r="Q24">
        <v>105</v>
      </c>
      <c r="R24" t="s">
        <v>610</v>
      </c>
      <c r="S24" t="s">
        <v>467</v>
      </c>
    </row>
    <row r="25" spans="1:19" x14ac:dyDescent="0.3">
      <c r="A25" t="s">
        <v>590</v>
      </c>
      <c r="B25" t="s">
        <v>350</v>
      </c>
      <c r="C25" t="s">
        <v>591</v>
      </c>
      <c r="D25" t="s">
        <v>465</v>
      </c>
      <c r="E25" t="s">
        <v>465</v>
      </c>
      <c r="F25" t="s">
        <v>17</v>
      </c>
      <c r="G25" t="s">
        <v>467</v>
      </c>
      <c r="H25" t="s">
        <v>468</v>
      </c>
      <c r="I25" t="s">
        <v>592</v>
      </c>
      <c r="J25" t="s">
        <v>478</v>
      </c>
      <c r="K25" t="s">
        <v>467</v>
      </c>
      <c r="L25" t="s">
        <v>15</v>
      </c>
      <c r="M25" t="s">
        <v>593</v>
      </c>
      <c r="N25" t="s">
        <v>16</v>
      </c>
      <c r="O25" t="s">
        <v>3</v>
      </c>
      <c r="P25" t="s">
        <v>3</v>
      </c>
      <c r="Q25">
        <v>99</v>
      </c>
      <c r="R25" t="s">
        <v>611</v>
      </c>
      <c r="S25" t="s">
        <v>467</v>
      </c>
    </row>
    <row r="26" spans="1:19" x14ac:dyDescent="0.3">
      <c r="A26" t="s">
        <v>594</v>
      </c>
      <c r="B26" t="s">
        <v>350</v>
      </c>
      <c r="C26" t="s">
        <v>595</v>
      </c>
      <c r="D26" t="s">
        <v>465</v>
      </c>
      <c r="E26" t="s">
        <v>465</v>
      </c>
      <c r="F26" t="s">
        <v>17</v>
      </c>
      <c r="G26" t="s">
        <v>467</v>
      </c>
      <c r="H26" t="s">
        <v>534</v>
      </c>
      <c r="I26" t="s">
        <v>583</v>
      </c>
      <c r="J26" t="s">
        <v>478</v>
      </c>
      <c r="K26" t="s">
        <v>467</v>
      </c>
      <c r="L26" t="s">
        <v>15</v>
      </c>
      <c r="M26" t="s">
        <v>596</v>
      </c>
      <c r="N26" t="s">
        <v>16</v>
      </c>
      <c r="O26" t="s">
        <v>3</v>
      </c>
      <c r="P26" t="s">
        <v>3</v>
      </c>
      <c r="Q26">
        <v>91</v>
      </c>
      <c r="R26" t="s">
        <v>612</v>
      </c>
      <c r="S26" t="s">
        <v>467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5E1E-2CA0-4971-A2A3-F31B2AE12DEF}">
  <dimension ref="B2:L34"/>
  <sheetViews>
    <sheetView tabSelected="1" topLeftCell="A9" workbookViewId="0">
      <selection activeCell="G32" sqref="G32"/>
    </sheetView>
  </sheetViews>
  <sheetFormatPr defaultRowHeight="14.4" x14ac:dyDescent="0.3"/>
  <cols>
    <col min="2" max="2" width="19.21875" bestFit="1" customWidth="1"/>
    <col min="5" max="5" width="14.5546875" customWidth="1"/>
    <col min="6" max="6" width="12.109375" customWidth="1"/>
    <col min="7" max="7" width="36.44140625" customWidth="1"/>
    <col min="8" max="8" width="24.21875" customWidth="1"/>
    <col min="10" max="10" width="22.109375" customWidth="1"/>
    <col min="11" max="11" width="13.44140625" customWidth="1"/>
    <col min="15" max="15" width="37.21875" customWidth="1"/>
  </cols>
  <sheetData>
    <row r="2" spans="2:11" x14ac:dyDescent="0.3">
      <c r="B2" s="156" t="s">
        <v>613</v>
      </c>
      <c r="C2" s="158"/>
      <c r="H2" s="149" t="s">
        <v>620</v>
      </c>
      <c r="I2" s="166"/>
      <c r="J2" s="166"/>
      <c r="K2" s="150"/>
    </row>
    <row r="3" spans="2:11" x14ac:dyDescent="0.3">
      <c r="B3" s="7" t="s">
        <v>0</v>
      </c>
      <c r="C3" s="8" t="s">
        <v>1</v>
      </c>
      <c r="H3" s="7" t="s">
        <v>11</v>
      </c>
      <c r="I3" s="167" t="s">
        <v>68</v>
      </c>
      <c r="J3" s="167" t="s">
        <v>17</v>
      </c>
      <c r="K3" s="8" t="s">
        <v>614</v>
      </c>
    </row>
    <row r="4" spans="2:11" x14ac:dyDescent="0.3">
      <c r="B4" s="9" t="s">
        <v>2</v>
      </c>
      <c r="C4" s="19">
        <v>25</v>
      </c>
      <c r="H4" s="9" t="s">
        <v>463</v>
      </c>
      <c r="I4" s="168">
        <v>5</v>
      </c>
      <c r="J4" s="168">
        <v>2</v>
      </c>
      <c r="K4" s="19">
        <v>40</v>
      </c>
    </row>
    <row r="5" spans="2:11" x14ac:dyDescent="0.3">
      <c r="B5" s="9" t="s">
        <v>17</v>
      </c>
      <c r="C5" s="19">
        <v>18</v>
      </c>
      <c r="H5" s="9" t="s">
        <v>490</v>
      </c>
      <c r="I5" s="168">
        <v>5</v>
      </c>
      <c r="J5" s="168">
        <v>4</v>
      </c>
      <c r="K5" s="19">
        <v>80</v>
      </c>
    </row>
    <row r="6" spans="2:11" x14ac:dyDescent="0.3">
      <c r="B6" s="9" t="s">
        <v>15</v>
      </c>
      <c r="C6" s="19">
        <v>0</v>
      </c>
      <c r="H6" s="9" t="s">
        <v>522</v>
      </c>
      <c r="I6" s="168">
        <v>5</v>
      </c>
      <c r="J6" s="168">
        <v>4</v>
      </c>
      <c r="K6" s="19">
        <v>80</v>
      </c>
    </row>
    <row r="7" spans="2:11" x14ac:dyDescent="0.3">
      <c r="B7" s="9" t="s">
        <v>18</v>
      </c>
      <c r="C7" s="19">
        <v>7</v>
      </c>
      <c r="H7" s="9" t="s">
        <v>550</v>
      </c>
      <c r="I7" s="168">
        <v>5</v>
      </c>
      <c r="J7" s="168">
        <v>5</v>
      </c>
      <c r="K7" s="19">
        <v>100</v>
      </c>
    </row>
    <row r="8" spans="2:11" x14ac:dyDescent="0.3">
      <c r="B8" s="9" t="s">
        <v>614</v>
      </c>
      <c r="C8" s="19">
        <v>72</v>
      </c>
      <c r="H8" s="12" t="s">
        <v>350</v>
      </c>
      <c r="I8" s="20">
        <v>5</v>
      </c>
      <c r="J8" s="20">
        <v>4</v>
      </c>
      <c r="K8" s="21">
        <v>80</v>
      </c>
    </row>
    <row r="9" spans="2:11" s="175" customFormat="1" x14ac:dyDescent="0.3">
      <c r="B9" s="45" t="s">
        <v>615</v>
      </c>
      <c r="C9" s="72" t="s">
        <v>3</v>
      </c>
    </row>
    <row r="10" spans="2:11" x14ac:dyDescent="0.3">
      <c r="B10" s="12" t="s">
        <v>616</v>
      </c>
      <c r="C10" s="21" t="s">
        <v>3</v>
      </c>
    </row>
    <row r="11" spans="2:11" x14ac:dyDescent="0.3">
      <c r="H11" s="173" t="s">
        <v>621</v>
      </c>
      <c r="I11" s="177"/>
      <c r="J11" s="177"/>
      <c r="K11" s="174"/>
    </row>
    <row r="12" spans="2:11" x14ac:dyDescent="0.3">
      <c r="B12" s="94" t="s">
        <v>617</v>
      </c>
      <c r="C12" s="96"/>
      <c r="H12" s="110" t="s">
        <v>406</v>
      </c>
      <c r="I12" s="176"/>
      <c r="J12" s="176"/>
      <c r="K12" s="8" t="s">
        <v>10</v>
      </c>
    </row>
    <row r="13" spans="2:11" x14ac:dyDescent="0.3">
      <c r="B13" s="7" t="s">
        <v>11</v>
      </c>
      <c r="C13" s="8" t="s">
        <v>10</v>
      </c>
      <c r="H13" s="113" t="s">
        <v>622</v>
      </c>
      <c r="I13" s="172"/>
      <c r="J13" s="172"/>
      <c r="K13" s="19">
        <v>5</v>
      </c>
    </row>
    <row r="14" spans="2:11" x14ac:dyDescent="0.3">
      <c r="B14" s="9" t="s">
        <v>17</v>
      </c>
      <c r="C14" s="19">
        <v>18</v>
      </c>
      <c r="H14" s="113" t="s">
        <v>623</v>
      </c>
      <c r="I14" s="172"/>
      <c r="J14" s="172"/>
      <c r="K14" s="19">
        <v>2</v>
      </c>
    </row>
    <row r="15" spans="2:11" x14ac:dyDescent="0.3">
      <c r="B15" s="9" t="s">
        <v>15</v>
      </c>
      <c r="C15" s="19">
        <v>0</v>
      </c>
      <c r="H15" s="113" t="s">
        <v>624</v>
      </c>
      <c r="I15" s="172"/>
      <c r="J15" s="172"/>
      <c r="K15" s="19">
        <v>3</v>
      </c>
    </row>
    <row r="16" spans="2:11" x14ac:dyDescent="0.3">
      <c r="B16" s="12" t="s">
        <v>18</v>
      </c>
      <c r="C16" s="21">
        <v>7</v>
      </c>
      <c r="H16" s="113" t="s">
        <v>625</v>
      </c>
      <c r="I16" s="172"/>
      <c r="J16" s="172"/>
      <c r="K16" s="19">
        <v>2</v>
      </c>
    </row>
    <row r="17" spans="2:12" x14ac:dyDescent="0.3">
      <c r="H17" s="113" t="s">
        <v>626</v>
      </c>
      <c r="I17" s="172"/>
      <c r="J17" s="172"/>
      <c r="K17" s="19">
        <v>2</v>
      </c>
    </row>
    <row r="18" spans="2:12" x14ac:dyDescent="0.3">
      <c r="B18" s="139" t="s">
        <v>618</v>
      </c>
      <c r="C18" s="140"/>
      <c r="H18" s="113" t="s">
        <v>627</v>
      </c>
      <c r="I18" s="172"/>
      <c r="J18" s="172"/>
      <c r="K18" s="19">
        <v>1</v>
      </c>
    </row>
    <row r="19" spans="2:12" x14ac:dyDescent="0.3">
      <c r="B19" s="7" t="s">
        <v>12</v>
      </c>
      <c r="C19" s="8" t="s">
        <v>10</v>
      </c>
      <c r="H19" s="116" t="s">
        <v>628</v>
      </c>
      <c r="I19" s="102"/>
      <c r="J19" s="102"/>
      <c r="K19" s="21">
        <v>2</v>
      </c>
    </row>
    <row r="20" spans="2:12" x14ac:dyDescent="0.3">
      <c r="B20" s="9" t="s">
        <v>3</v>
      </c>
      <c r="C20" s="19">
        <v>12</v>
      </c>
    </row>
    <row r="21" spans="2:12" x14ac:dyDescent="0.3">
      <c r="B21" s="9" t="s">
        <v>15</v>
      </c>
      <c r="C21" s="19">
        <v>12</v>
      </c>
    </row>
    <row r="22" spans="2:12" x14ac:dyDescent="0.3">
      <c r="B22" s="12" t="s">
        <v>16</v>
      </c>
      <c r="C22" s="21">
        <v>1</v>
      </c>
      <c r="H22" s="169" t="s">
        <v>629</v>
      </c>
      <c r="I22" s="170"/>
      <c r="J22" s="170"/>
      <c r="K22" s="170"/>
      <c r="L22" s="171"/>
    </row>
    <row r="23" spans="2:12" x14ac:dyDescent="0.3">
      <c r="H23" s="7" t="s">
        <v>630</v>
      </c>
      <c r="I23" s="178" t="s">
        <v>199</v>
      </c>
      <c r="J23" s="178"/>
      <c r="K23" s="178"/>
      <c r="L23" s="179"/>
    </row>
    <row r="24" spans="2:12" s="43" customFormat="1" x14ac:dyDescent="0.3">
      <c r="B24" s="180" t="s">
        <v>619</v>
      </c>
      <c r="C24" s="181"/>
      <c r="H24" s="9" t="s">
        <v>631</v>
      </c>
      <c r="I24" s="172" t="s">
        <v>632</v>
      </c>
      <c r="J24" s="172"/>
      <c r="K24" s="172"/>
      <c r="L24" s="88"/>
    </row>
    <row r="25" spans="2:12" x14ac:dyDescent="0.3">
      <c r="B25" s="57" t="s">
        <v>12</v>
      </c>
      <c r="C25" s="73" t="s">
        <v>10</v>
      </c>
      <c r="H25" s="9" t="s">
        <v>633</v>
      </c>
      <c r="I25" s="172" t="s">
        <v>634</v>
      </c>
      <c r="J25" s="172"/>
      <c r="K25" s="172"/>
      <c r="L25" s="88"/>
    </row>
    <row r="26" spans="2:12" x14ac:dyDescent="0.3">
      <c r="B26" s="9" t="s">
        <v>3</v>
      </c>
      <c r="C26" s="19">
        <v>10</v>
      </c>
      <c r="H26" s="9" t="s">
        <v>635</v>
      </c>
      <c r="I26" s="172" t="s">
        <v>636</v>
      </c>
      <c r="J26" s="172"/>
      <c r="K26" s="172"/>
      <c r="L26" s="88"/>
    </row>
    <row r="27" spans="2:12" x14ac:dyDescent="0.3">
      <c r="B27" s="9" t="s">
        <v>15</v>
      </c>
      <c r="C27" s="19">
        <v>5</v>
      </c>
      <c r="H27" s="9" t="s">
        <v>637</v>
      </c>
      <c r="I27" s="172" t="s">
        <v>638</v>
      </c>
      <c r="J27" s="172"/>
      <c r="K27" s="172"/>
      <c r="L27" s="88"/>
    </row>
    <row r="28" spans="2:12" x14ac:dyDescent="0.3">
      <c r="B28" s="12" t="s">
        <v>16</v>
      </c>
      <c r="C28" s="21">
        <v>10</v>
      </c>
      <c r="H28" s="9" t="s">
        <v>639</v>
      </c>
      <c r="I28" s="172" t="s">
        <v>640</v>
      </c>
      <c r="J28" s="172"/>
      <c r="K28" s="172"/>
      <c r="L28" s="88"/>
    </row>
    <row r="29" spans="2:12" x14ac:dyDescent="0.3">
      <c r="H29" s="12" t="s">
        <v>641</v>
      </c>
      <c r="I29" s="102" t="s">
        <v>642</v>
      </c>
      <c r="J29" s="102"/>
      <c r="K29" s="102"/>
      <c r="L29" s="103"/>
    </row>
    <row r="30" spans="2:12" x14ac:dyDescent="0.3">
      <c r="B30" s="182" t="s">
        <v>643</v>
      </c>
      <c r="C30" s="183"/>
      <c r="D30" s="184"/>
    </row>
    <row r="31" spans="2:12" ht="28.8" x14ac:dyDescent="0.3">
      <c r="B31" s="7" t="s">
        <v>12</v>
      </c>
      <c r="C31" s="167" t="s">
        <v>13</v>
      </c>
      <c r="D31" s="8" t="s">
        <v>14</v>
      </c>
    </row>
    <row r="32" spans="2:12" x14ac:dyDescent="0.3">
      <c r="B32" s="9" t="s">
        <v>3</v>
      </c>
      <c r="C32" s="168">
        <v>12</v>
      </c>
      <c r="D32" s="19">
        <v>10</v>
      </c>
    </row>
    <row r="33" spans="2:4" x14ac:dyDescent="0.3">
      <c r="B33" s="9" t="s">
        <v>15</v>
      </c>
      <c r="C33" s="168">
        <v>12</v>
      </c>
      <c r="D33" s="19">
        <v>5</v>
      </c>
    </row>
    <row r="34" spans="2:4" x14ac:dyDescent="0.3">
      <c r="B34" s="12" t="s">
        <v>16</v>
      </c>
      <c r="C34" s="20">
        <v>1</v>
      </c>
      <c r="D34" s="21">
        <v>10</v>
      </c>
    </row>
  </sheetData>
  <mergeCells count="23">
    <mergeCell ref="I23:L23"/>
    <mergeCell ref="B30:D30"/>
    <mergeCell ref="H15:J15"/>
    <mergeCell ref="H16:J16"/>
    <mergeCell ref="H17:J17"/>
    <mergeCell ref="H18:J18"/>
    <mergeCell ref="H19:J19"/>
    <mergeCell ref="H11:K11"/>
    <mergeCell ref="I24:L24"/>
    <mergeCell ref="I25:L25"/>
    <mergeCell ref="I26:L26"/>
    <mergeCell ref="I27:L27"/>
    <mergeCell ref="I28:L28"/>
    <mergeCell ref="I29:L29"/>
    <mergeCell ref="B2:C2"/>
    <mergeCell ref="B12:C12"/>
    <mergeCell ref="B18:C18"/>
    <mergeCell ref="B24:C24"/>
    <mergeCell ref="H2:K2"/>
    <mergeCell ref="H22:L22"/>
    <mergeCell ref="H12:J12"/>
    <mergeCell ref="H13:J13"/>
    <mergeCell ref="H14:J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aca268-e3b2-4935-9488-571ad382c3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CAD72F4CCFB45A09406EB35919E92" ma:contentTypeVersion="17" ma:contentTypeDescription="Create a new document." ma:contentTypeScope="" ma:versionID="dab824dadae7b73de0148e404c8dac27">
  <xsd:schema xmlns:xsd="http://www.w3.org/2001/XMLSchema" xmlns:xs="http://www.w3.org/2001/XMLSchema" xmlns:p="http://schemas.microsoft.com/office/2006/metadata/properties" xmlns:ns3="afaca268-e3b2-4935-9488-571ad382c364" xmlns:ns4="162a7144-2f0e-4714-bb73-c0ccd69df26f" targetNamespace="http://schemas.microsoft.com/office/2006/metadata/properties" ma:root="true" ma:fieldsID="aa0a9b99d1053d2836c99abd5bca410c" ns3:_="" ns4:_="">
    <xsd:import namespace="afaca268-e3b2-4935-9488-571ad382c364"/>
    <xsd:import namespace="162a7144-2f0e-4714-bb73-c0ccd69df2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a268-e3b2-4935-9488-571ad382c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a7144-2f0e-4714-bb73-c0ccd69df26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8724A-4A5C-4435-A5A6-2ED5189591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F918D5-A5A5-4AEC-8D67-5A3F16EA52CA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162a7144-2f0e-4714-bb73-c0ccd69df26f"/>
    <ds:schemaRef ds:uri="http://www.w3.org/XML/1998/namespace"/>
    <ds:schemaRef ds:uri="afaca268-e3b2-4935-9488-571ad382c364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ABF1F72-C4DB-425B-B154-6BC7CC3A04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aca268-e3b2-4935-9488-571ad382c364"/>
    <ds:schemaRef ds:uri="162a7144-2f0e-4714-bb73-c0ccd69df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69D099D-AE29-48FB-B5C0-14E019133F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 Cases</vt:lpstr>
      <vt:lpstr>PANORAMA Overview</vt:lpstr>
      <vt:lpstr>PII Dataset Summary (EXP 5–6)</vt:lpstr>
      <vt:lpstr>Model_Comparison (EXP 7-9)</vt:lpstr>
      <vt:lpstr>PathB_Dataset Summary</vt:lpstr>
      <vt:lpstr>PathB_Modle_comparison</vt:lpstr>
      <vt:lpstr>PathB_EXP17_18_Model_Evaluation</vt:lpstr>
      <vt:lpstr>PathB_Error_Analysis</vt:lpstr>
      <vt:lpstr>PathB_Baseline_Comparison</vt:lpstr>
      <vt:lpstr>EXP_024_System_Evaluation</vt:lpstr>
      <vt:lpstr>exp024_system_evaluation</vt:lpstr>
      <vt:lpstr>EXP_024b Evaluation 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HERATH H M G D K it22361486</dc:creator>
  <cp:lastModifiedBy>HERATH H M G D K it22361486</cp:lastModifiedBy>
  <dcterms:created xsi:type="dcterms:W3CDTF">2026-03-20T13:55:19Z</dcterms:created>
  <dcterms:modified xsi:type="dcterms:W3CDTF">2026-04-23T11:27:34Z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0x010100B4FCAD72F4CCFB45A09406EB35919E92</vt:lpwstr>
  </property>
</Properties>
</file>